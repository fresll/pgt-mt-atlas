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Таблица 1" sheetId="1" state="visible" r:id="rId1"/>
    <sheet xmlns:r="http://schemas.openxmlformats.org/officeDocument/2006/relationships" name="Рисунок 3" sheetId="2" state="visible" r:id="rId2"/>
    <sheet xmlns:r="http://schemas.openxmlformats.org/officeDocument/2006/relationships" name="Рисунок 4" sheetId="3" state="visible" r:id="rId3"/>
    <sheet xmlns:r="http://schemas.openxmlformats.org/officeDocument/2006/relationships" name="Рисунок 5" sheetId="4" state="visible" r:id="rId4"/>
    <sheet xmlns:r="http://schemas.openxmlformats.org/officeDocument/2006/relationships" name="Рисунок 6" sheetId="5" state="visible" r:id="rId5"/>
    <sheet xmlns:r="http://schemas.openxmlformats.org/officeDocument/2006/relationships" name="Бластомеры (дробление)" sheetId="6" state="visible" r:id="rId6"/>
    <sheet xmlns:r="http://schemas.openxmlformats.org/officeDocument/2006/relationships" name="Tajima 2007 (не используется)" sheetId="7" state="visible" r:id="rId7"/>
    <sheet xmlns:r="http://schemas.openxmlformats.org/officeDocument/2006/relationships" name="Hu 2026 (16 проб эмбриона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Arial"/>
      <color rgb="FF000000"/>
      <sz val="10"/>
      <scheme val="minor"/>
    </font>
    <font>
      <name val="Arial"/>
      <b val="1"/>
      <color rgb="FFFFFFFF"/>
      <sz val="11"/>
    </font>
    <font/>
    <font>
      <name val="Arial"/>
      <i val="1"/>
      <color rgb="FF595959"/>
      <sz val="9"/>
    </font>
    <font>
      <name val="Arial"/>
      <b val="1"/>
      <color rgb="FFFFFFFF"/>
      <sz val="9"/>
    </font>
    <font>
      <name val="Cambria"/>
      <b val="1"/>
      <color theme="1"/>
      <sz val="11"/>
    </font>
    <font>
      <name val="Arial"/>
      <color theme="1"/>
      <sz val="9"/>
    </font>
    <font>
      <name val="Arial"/>
      <color theme="1"/>
      <scheme val="minor"/>
    </font>
    <font>
      <name val="Cambria"/>
      <b val="1"/>
      <color rgb="FFFFFFFF"/>
      <sz val="11"/>
    </font>
    <font>
      <name val="Arial"/>
      <color theme="1"/>
      <sz val="11"/>
    </font>
    <font>
      <b val="1"/>
      <sz val="12"/>
    </font>
    <font>
      <b val="1"/>
      <color rgb="FFFFFFFF"/>
    </font>
    <font>
      <b val="1"/>
    </font>
  </fonts>
  <fills count="12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5F5F5"/>
        <bgColor rgb="FFF5F5F5"/>
      </patternFill>
    </fill>
    <fill>
      <patternFill patternType="solid">
        <fgColor rgb="FF375623"/>
        <bgColor rgb="FF375623"/>
      </patternFill>
    </fill>
    <fill>
      <patternFill patternType="solid">
        <fgColor rgb="FF7B2C2C"/>
        <bgColor rgb="FF7B2C2C"/>
      </patternFill>
    </fill>
    <fill>
      <patternFill patternType="solid">
        <fgColor rgb="FFF2F7FC"/>
        <bgColor rgb="FFF2F7FC"/>
      </patternFill>
    </fill>
    <fill>
      <patternFill patternType="solid">
        <fgColor rgb="FF4F81BD"/>
        <bgColor rgb="FF4F81BD"/>
      </patternFill>
    </fill>
    <fill>
      <patternFill patternType="solid">
        <fgColor rgb="FF7F3F98"/>
        <bgColor rgb="FF7F3F98"/>
      </patternFill>
    </fill>
    <fill>
      <patternFill patternType="solid">
        <fgColor rgb="FF4A7C3F"/>
        <bgColor rgb="FF4A7C3F"/>
      </patternFill>
    </fill>
    <fill>
      <patternFill patternType="solid">
        <fgColor rgb="FFFFFFFF"/>
        <bgColor rgb="FFFFFFFF"/>
      </patternFill>
    </fill>
    <fill>
      <patternFill patternType="solid">
        <fgColor rgb="FF7B2C2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 style="thin">
        <color rgb="FFD9D9D9"/>
      </right>
      <top/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bottom"/>
    </xf>
    <xf numFmtId="0" fontId="6" fillId="6" borderId="4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6" fillId="0" borderId="5" applyAlignment="1" pivotButton="0" quotePrefix="0" xfId="0">
      <alignment vertical="center"/>
    </xf>
    <xf numFmtId="0" fontId="7" fillId="0" borderId="0" pivotButton="0" quotePrefix="0" xfId="0"/>
    <xf numFmtId="0" fontId="5" fillId="5" borderId="4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5" fillId="8" borderId="6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/>
    </xf>
    <xf numFmtId="0" fontId="6" fillId="6" borderId="6" applyAlignment="1" pivotButton="0" quotePrefix="0" xfId="0">
      <alignment vertical="center"/>
    </xf>
    <xf numFmtId="0" fontId="4" fillId="9" borderId="4" applyAlignment="1" pivotButton="0" quotePrefix="0" xfId="0">
      <alignment horizontal="center" vertical="center" wrapText="1"/>
    </xf>
    <xf numFmtId="2" fontId="6" fillId="6" borderId="6" applyAlignment="1" pivotButton="0" quotePrefix="0" xfId="0">
      <alignment vertical="center"/>
    </xf>
    <xf numFmtId="1" fontId="6" fillId="6" borderId="6" applyAlignment="1" pivotButton="0" quotePrefix="0" xfId="0">
      <alignment vertical="center"/>
    </xf>
    <xf numFmtId="0" fontId="6" fillId="10" borderId="6" applyAlignment="1" pivotButton="0" quotePrefix="0" xfId="0">
      <alignment vertical="center"/>
    </xf>
    <xf numFmtId="2" fontId="6" fillId="10" borderId="6" applyAlignment="1" pivotButton="0" quotePrefix="0" xfId="0">
      <alignment vertical="center"/>
    </xf>
    <xf numFmtId="1" fontId="6" fillId="10" borderId="6" applyAlignment="1" pivotButton="0" quotePrefix="0" xfId="0">
      <alignment vertical="center"/>
    </xf>
    <xf numFmtId="0" fontId="9" fillId="6" borderId="6" applyAlignment="1" pivotButton="0" quotePrefix="0" xfId="0">
      <alignment vertical="center"/>
    </xf>
    <xf numFmtId="2" fontId="9" fillId="6" borderId="6" applyAlignment="1" pivotButton="0" quotePrefix="0" xfId="0">
      <alignment vertical="center"/>
    </xf>
    <xf numFmtId="1" fontId="9" fillId="6" borderId="6" applyAlignment="1" pivotButton="0" quotePrefix="0" xfId="0">
      <alignment vertical="center"/>
    </xf>
    <xf numFmtId="0" fontId="9" fillId="10" borderId="6" applyAlignment="1" pivotButton="0" quotePrefix="0" xfId="0">
      <alignment vertical="center"/>
    </xf>
    <xf numFmtId="2" fontId="9" fillId="10" borderId="6" applyAlignment="1" pivotButton="0" quotePrefix="0" xfId="0">
      <alignment vertical="center"/>
    </xf>
    <xf numFmtId="1" fontId="9" fillId="10" borderId="6" applyAlignment="1" pivotButton="0" quotePrefix="0" xfId="0">
      <alignment vertical="center"/>
    </xf>
    <xf numFmtId="0" fontId="0" fillId="0" borderId="0" pivotButton="0" quotePrefix="0" xfId="0"/>
    <xf numFmtId="0" fontId="1" fillId="2" borderId="7" applyAlignment="1" pivotButton="0" quotePrefix="0" xfId="0">
      <alignment horizontal="left" vertical="center"/>
    </xf>
    <xf numFmtId="0" fontId="3" fillId="3" borderId="7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left" vertical="center"/>
    </xf>
    <xf numFmtId="0" fontId="1" fillId="9" borderId="7" applyAlignment="1" pivotButton="0" quotePrefix="0" xfId="0">
      <alignment horizontal="left" vertical="center"/>
    </xf>
    <xf numFmtId="0" fontId="1" fillId="5" borderId="7" applyAlignment="1" pivotButton="0" quotePrefix="0" xfId="0">
      <alignment horizontal="left" vertical="center"/>
    </xf>
    <xf numFmtId="0" fontId="3" fillId="3" borderId="7" applyAlignment="1" pivotButton="0" quotePrefix="0" xfId="0">
      <alignment vertical="top" wrapText="1"/>
    </xf>
    <xf numFmtId="0" fontId="8" fillId="7" borderId="7" applyAlignment="1" pivotButton="0" quotePrefix="0" xfId="0">
      <alignment horizontal="left" vertical="center"/>
    </xf>
    <xf numFmtId="0" fontId="1" fillId="8" borderId="7" applyAlignment="1" pivotButton="0" quotePrefix="0" xfId="0">
      <alignment horizontal="left" vertic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11" borderId="0" applyAlignment="1" pivotButton="0" quotePrefix="0" xfId="0">
      <alignment vertical="center" wrapText="1"/>
    </xf>
    <xf numFmtId="0" fontId="12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32" min="1" max="1"/>
    <col width="50" customWidth="1" style="32" min="2" max="6"/>
    <col width="46" customWidth="1" style="32" min="7" max="7"/>
    <col width="8.630000000000001" customWidth="1" style="32" min="8" max="26"/>
  </cols>
  <sheetData>
    <row r="1" ht="21.75" customHeight="1" s="32">
      <c r="A1" s="33" t="inlineStr">
        <is>
          <t>Таблица 1 — Выбранные опубликованные случаи ПГТ-мт с доступными индивидуальными значениями гетероплазмии (расширенная версия)</t>
        </is>
      </c>
    </row>
    <row r="2" ht="33.75" customHeight="1" s="32">
      <c r="A2" s="34" t="inlineStr">
        <is>
          <t>Расширенная версия таблицы 1 из текста статьи. Каждая строка — один опубликованный случай или серия. Таблица не претендует на исчерпывающий охват клинической литературы по ПГТ-мт: в неё включены прежде всего наблюдения, для которых из первичных публикаций удалось извлечь индивидуальные значения гетероплазмии эмбриона и/или плода или ребёнка. Крупные когорты, в которых индивидуальные пары не опубликованы, приведены отдельно и помечены в столбце «Тип данных». Колонка «Происхождение значения» указывает, откуда взято каждое число: текст, таблица, приложение или рисунок первоисточника. Значения берутся из первичных публикаций; сводные таблицы обзоров использованы только там, где оригинал недоступен, и это отмечено. Для двойных переносов, где опубликованы значения двух бластомеров одного эмбриона, в колонку «диапазон» вынесено их среднее.</t>
        </is>
      </c>
    </row>
    <row r="3" ht="30" customHeight="1" s="32">
      <c r="A3" s="6" t="inlineStr">
        <is>
          <t>Вариант мтДНК</t>
        </is>
      </c>
      <c r="B3" s="6" t="inlineStr">
        <is>
          <t>Синдром / симптомокомплекс</t>
        </is>
      </c>
      <c r="C3" s="6" t="inlineStr">
        <is>
          <t>Диапазон гетероплазмии на весь пул эмбрионов</t>
        </is>
      </c>
      <c r="D3" s="6" t="inlineStr">
        <is>
          <t>Гетероплазмия перенесённого эмбриона</t>
        </is>
      </c>
      <c r="E3" s="6" t="inlineStr">
        <is>
          <t>Гетероплазмия в тканях плода/ребёнка</t>
        </is>
      </c>
      <c r="F3" s="6" t="inlineStr">
        <is>
          <t>Ссылка на статью (DOI)</t>
        </is>
      </c>
      <c r="G3" s="9" t="inlineStr">
        <is>
          <t>Тип данных</t>
        </is>
      </c>
      <c r="H3" s="0" t="inlineStr">
        <is>
          <t>Происхождение значения</t>
        </is>
      </c>
    </row>
    <row r="4">
      <c r="A4" s="10" t="inlineStr">
        <is>
          <t>m.8993T&gt;G</t>
        </is>
      </c>
      <c r="B4" s="10" t="inlineStr">
        <is>
          <t>NARP/Leigh</t>
        </is>
      </c>
      <c r="C4" s="10" t="inlineStr">
        <is>
          <t>0–94/100% (2 эмбриона без выявляемой мутации; 1 эмбрион ~94–100%)</t>
        </is>
      </c>
      <c r="D4" s="10" t="inlineStr">
        <is>
          <t>0%; 0% / мутация не детектировалась</t>
        </is>
      </c>
      <c r="E4" s="10" t="inlineStr">
        <is>
          <t>амниотическая жидкость: не детектировалась; пуповинная кровь: не детектировалась</t>
        </is>
      </c>
      <c r="F4" s="10" t="inlineStr">
        <is>
          <t>Steffann et al., 2006; https://doi.org/10.1136/jmg.2005.032326</t>
        </is>
      </c>
      <c r="G4" s="13" t="inlineStr">
        <is>
          <t>индивидуальный случай или малая серия</t>
        </is>
      </c>
      <c r="H4" s="0" t="inlineStr">
        <is>
          <t>таблица и текст первоисточника</t>
        </is>
      </c>
    </row>
    <row r="5">
      <c r="A5" s="12" t="inlineStr">
        <is>
          <t>m.8993T&gt;G</t>
        </is>
      </c>
      <c r="B5" s="12" t="inlineStr">
        <is>
          <t>NARP/Leigh</t>
        </is>
      </c>
      <c r="C5" s="12" t="inlineStr">
        <is>
          <t>н/д; указан только перенесённый эмбрион</t>
        </is>
      </c>
      <c r="D5" s="12" t="inlineStr">
        <is>
          <t>2,5%</t>
        </is>
      </c>
      <c r="E5" s="12" t="inlineStr">
        <is>
          <t>пуповинная кровь: 4%</t>
        </is>
      </c>
      <c r="F5" s="12" t="inlineStr">
        <is>
          <t>Thorburn, Wilton &amp; Stock-Myer, 2009; DOI не найден / abstract</t>
        </is>
      </c>
      <c r="G5" s="13" t="inlineStr">
        <is>
          <t>индивидуальный случай или малая серия</t>
        </is>
      </c>
      <c r="H5" s="0" t="inlineStr">
        <is>
          <t>тезисы конференции (Mol Genet Metab. 2009;98(1–2):5–6), полного текста и записи в PubMed нет; значения по двум независимым сводкам: Castelluccio 2025 (2,5% → пуповинная кровь 4%) и Smeets 2023 (2,5/2,5% → 3–5%)</t>
        </is>
      </c>
    </row>
    <row r="6">
      <c r="A6" s="10" t="inlineStr">
        <is>
          <t>m.8993T&gt;G</t>
        </is>
      </c>
      <c r="B6" s="10" t="inlineStr">
        <is>
          <t>NARP/Leigh</t>
        </is>
      </c>
      <c r="C6" s="10" t="inlineStr">
        <is>
          <t>0–100%: вариант выявлен в 3 из 20 эмбрионов (30, 88 и 100%), в остальных 17 не выявлен</t>
        </is>
      </c>
      <c r="D6" s="10" t="inlineStr">
        <is>
          <t>0%; 0%; 0% (три перенесённых эмбриона в двух циклах)</t>
        </is>
      </c>
      <c r="E6" s="10" t="inlineStr">
        <is>
          <t>пуповинная кровь: 0%</t>
        </is>
      </c>
      <c r="F6" s="10" t="inlineStr">
        <is>
          <t>Sallevelt et al., 2013; https://doi.org/10.1136/jmedgenet-2012-101172</t>
        </is>
      </c>
      <c r="G6" s="13" t="inlineStr">
        <is>
          <t>индивидуальный случай или малая серия</t>
        </is>
      </c>
      <c r="H6" s="0" t="inlineStr">
        <is>
          <t>текст первоисточника (Results)</t>
        </is>
      </c>
    </row>
    <row r="7">
      <c r="A7" s="12" t="inlineStr">
        <is>
          <t>m.3243A&gt;G</t>
        </is>
      </c>
      <c r="B7" s="12" t="inlineStr">
        <is>
          <t>MELAS / MIDD; агрегированная подгруппа из 3 женщин</t>
        </is>
      </c>
      <c r="C7" s="12" t="inlineStr">
        <is>
          <t>эмбрионы дробления: 1–70% (по трём носительницам 1–65%, 2–58% и 5–70%); ооциты: 37–67%; зиготы: 0–66%</t>
        </is>
      </c>
      <c r="D7" s="12" t="inlineStr">
        <is>
          <t>4 перенесённых эмбриона трём пациенткам; точные значения по женщине не извлечены</t>
        </is>
      </c>
      <c r="E7" s="12" t="inlineStr">
        <is>
          <t>беременность не наступила</t>
        </is>
      </c>
      <c r="F7" s="12" t="inlineStr">
        <is>
          <t>Sallevelt et al., 2013; https://doi.org/10.1136/jmedgenet-2012-101172</t>
        </is>
      </c>
      <c r="G7" s="13" t="inlineStr">
        <is>
          <t>индивидуальный случай или малая серия</t>
        </is>
      </c>
      <c r="H7" s="0" t="inlineStr">
        <is>
          <t>текст первоисточника (Results)</t>
        </is>
      </c>
    </row>
    <row r="8">
      <c r="A8" s="10" t="inlineStr">
        <is>
          <t>m.3243A&gt;G</t>
        </is>
      </c>
      <c r="B8" s="10" t="inlineStr">
        <is>
          <t>MELAS</t>
        </is>
      </c>
      <c r="C8" s="10" t="inlineStr">
        <is>
          <t>18–50%</t>
        </is>
      </c>
      <c r="D8" s="10" t="inlineStr">
        <is>
          <t>переноса не было / не указан</t>
        </is>
      </c>
      <c r="E8" s="10" t="inlineStr">
        <is>
          <t>не применимо</t>
        </is>
      </c>
      <c r="F8" s="10" t="inlineStr">
        <is>
          <t>Monnot et al., 2011; https://doi.org/10.1002/humu.21417</t>
        </is>
      </c>
      <c r="G8" s="13" t="inlineStr">
        <is>
          <t>индивидуальный случай или малая серия</t>
        </is>
      </c>
      <c r="H8" s="0" t="inlineStr">
        <is>
          <t>Table 3 первоисточника</t>
        </is>
      </c>
    </row>
    <row r="9">
      <c r="A9" s="12" t="inlineStr">
        <is>
          <t>m.3243A&gt;G</t>
        </is>
      </c>
      <c r="B9" s="12" t="inlineStr">
        <is>
          <t>MELAS</t>
        </is>
      </c>
      <c r="C9" s="12" t="inlineStr">
        <is>
          <t>0–75%</t>
        </is>
      </c>
      <c r="D9" s="12" t="inlineStr">
        <is>
          <t>5/5% и 13/16% (два бластомера в каждом из двух перенесённых эмбрионов)</t>
        </is>
      </c>
      <c r="E9" s="12" t="inlineStr">
        <is>
          <t>амниотическая жидкость: 4±0%; плацента: 15±5%; пуповинная кровь: 5±1%</t>
        </is>
      </c>
      <c r="F9" s="12" t="inlineStr">
        <is>
          <t>Monnot et al., 2011; https://doi.org/10.1002/humu.21417</t>
        </is>
      </c>
      <c r="G9" s="13" t="inlineStr">
        <is>
          <t>индивидуальный случай или малая серия</t>
        </is>
      </c>
      <c r="H9" s="0" t="inlineStr">
        <is>
          <t>Table 3 первоисточника</t>
        </is>
      </c>
    </row>
    <row r="10">
      <c r="A10" s="10" t="inlineStr">
        <is>
          <t>m.3243A&gt;G</t>
        </is>
      </c>
      <c r="B10" s="10" t="inlineStr">
        <is>
          <t>MELAS / MIDD</t>
        </is>
      </c>
      <c r="C10" s="10" t="inlineStr">
        <is>
          <t>7–91% по эмбриональным значениям; бластоцисты: 12–40%</t>
        </is>
      </c>
      <c r="D10" s="10" t="inlineStr">
        <is>
          <t>12%</t>
        </is>
      </c>
      <c r="E10" s="10" t="inlineStr">
        <is>
          <t>буккальный эпителий: 15% в возрасте 1 мес (метод, разработанный в [24]); в коммерческой лаборатории в том же исследовании вариант в буккальном мазке и осадке мочи не детектировался, в крови в 5 и 12 мес — менее 10% [24]. При независимом повторном анализе того же ребёнка методом ARMS-qPCR в возрасте 6 нед и 18 мес получено 47% и 46% в крови и 52% и 42% в моче [39]</t>
        </is>
      </c>
      <c r="F10" s="10" t="inlineStr">
        <is>
          <t>Treff et al., 2012; https://doi.org/10.1016/j.fertnstert.2012.07.1119 | Mitalipov et al., 2014; https://doi.org/10.1016/j.celrep.2014.05.004</t>
        </is>
      </c>
      <c r="G10" s="13" t="inlineStr">
        <is>
          <t>индивидуальный случай или малая серия</t>
        </is>
      </c>
      <c r="H10" s="0" t="inlineStr">
        <is>
          <t>текст первоисточника (Abstract, Results)</t>
        </is>
      </c>
    </row>
    <row r="11">
      <c r="A11" s="12" t="inlineStr">
        <is>
          <t>m.3243A&gt;G</t>
        </is>
      </c>
      <c r="B11" s="12" t="inlineStr">
        <is>
          <t>MELAS</t>
        </is>
      </c>
      <c r="C11" s="12" t="inlineStr">
        <is>
          <t>0–62% (средние по 11 бластоцистам; максимум отдельного биоптата 65,5%)</t>
        </is>
      </c>
      <c r="D11" s="12" t="inlineStr">
        <is>
          <t>0%; 0% / две бластоцисты без детектируемой мутации</t>
        </is>
      </c>
      <c r="E11" s="12" t="inlineStr">
        <is>
          <t>буккальный мазок: 0%; кровь: 0%; моча: 0%</t>
        </is>
      </c>
      <c r="F11" s="12" t="inlineStr">
        <is>
          <t>Heindryckx et al., 2014; https://doi.org/10.1016/j.mito.2014.08.005</t>
        </is>
      </c>
      <c r="G11" s="13" t="inlineStr">
        <is>
          <t>индивидуальный случай или малая серия</t>
        </is>
      </c>
      <c r="H11" s="0" t="inlineStr">
        <is>
          <t>Table 1 первоисточника (средние значения по 11 бластоцистам)</t>
        </is>
      </c>
    </row>
    <row r="12">
      <c r="A12" s="10" t="inlineStr">
        <is>
          <t>m.8344A&gt;G</t>
        </is>
      </c>
      <c r="B12" s="10" t="inlineStr">
        <is>
          <t>MERRF</t>
        </is>
      </c>
      <c r="C12" s="10" t="inlineStr">
        <is>
          <t>н/д; перенесённые эмбрионы 53% и 59%</t>
        </is>
      </c>
      <c r="D12" s="10" t="inlineStr">
        <is>
          <t>53%; 59%</t>
        </is>
      </c>
      <c r="E12" s="10" t="inlineStr">
        <is>
          <t>при рождении: 63% (ткань в доступной сводке не уточнена)</t>
        </is>
      </c>
      <c r="F12" s="10" t="inlineStr">
        <is>
          <t>Steffann et al., 2014; https://doi.org/10.1016/j.celrep.2014.05.005</t>
        </is>
      </c>
      <c r="G12" s="13" t="inlineStr">
        <is>
          <t>индивидуальный случай или малая серия</t>
        </is>
      </c>
      <c r="H12" s="0" t="inlineStr">
        <is>
          <t>текст первоисточника</t>
        </is>
      </c>
    </row>
    <row r="13">
      <c r="A13" s="12" t="inlineStr">
        <is>
          <t>m.14487T&gt;C</t>
        </is>
      </c>
      <c r="B13" s="12" t="inlineStr">
        <is>
          <t>Leigh-синдром</t>
        </is>
      </c>
      <c r="C13" s="12" t="inlineStr">
        <is>
          <t>примерно 5,75–100%; цикл 1 преимущественно ~50–98%; цикл 2 ~6–100%</t>
        </is>
      </c>
      <c r="D13" s="12" t="inlineStr">
        <is>
          <t>5,4 и 6,1% в 12-клеточном эмбрионе; 12,2 и 12,3% в 13-клеточном (два бластомера в каждом из двух перенесённых эмбрионов)</t>
        </is>
      </c>
      <c r="E13" s="12" t="inlineStr">
        <is>
          <t>пуповинная кровь: около 5%; пренатальная диагностика отклонена</t>
        </is>
      </c>
      <c r="F13" s="12" t="inlineStr">
        <is>
          <t>Sallevelt et al., 2017; https://doi.org/10.1093/humrep/dew356</t>
        </is>
      </c>
      <c r="G13" s="13" t="inlineStr">
        <is>
          <t>индивидуальный случай или малая серия</t>
        </is>
      </c>
      <c r="H13" s="0" t="inlineStr">
        <is>
          <t>текст первоисточника (~50–98%) и расчёт по первоисточнику: среднее пары бластомеров</t>
        </is>
      </c>
    </row>
    <row r="14">
      <c r="A14" s="10" t="inlineStr">
        <is>
          <t>m.14487T&gt;C</t>
        </is>
      </c>
      <c r="B14" s="10" t="inlineStr">
        <is>
          <t>Leigh-синдром</t>
        </is>
      </c>
      <c r="C14" s="10" t="inlineStr">
        <is>
          <t>ТЭ: 11,4–99,6% (11,4; 12,0; 13,5; 73,2; 92,3; 99,6)</t>
        </is>
      </c>
      <c r="D14" s="10" t="inlineStr">
        <is>
          <t>переноса не было</t>
        </is>
      </c>
      <c r="E14" s="10" t="inlineStr">
        <is>
          <t>не применимо</t>
        </is>
      </c>
      <c r="F14" s="10" t="inlineStr">
        <is>
          <t>Tofilo et al., 2026, Journal of Assisted Reproduction and Genetics, in press</t>
        </is>
      </c>
      <c r="G14" s="13" t="inlineStr">
        <is>
          <t>индивидуальный случай или малая серия</t>
        </is>
      </c>
      <c r="H14" s="0" t="inlineStr">
        <is>
          <t>собственные данные авторов</t>
        </is>
      </c>
    </row>
    <row r="15">
      <c r="A15" s="12" t="inlineStr">
        <is>
          <t>m.3697G&gt;A</t>
        </is>
      </c>
      <c r="B15" s="12" t="inlineStr">
        <is>
          <t>Leigh-синдром</t>
        </is>
      </c>
      <c r="C15" s="12" t="inlineStr">
        <is>
          <t>15,2–100%</t>
        </is>
      </c>
      <c r="D15" s="12" t="inlineStr">
        <is>
          <t>31,7% (мозаичный эмбрион; биохимическая беременность); 53,9% (эуплоидный эмбрион; беременность с прерыванием)</t>
        </is>
      </c>
      <c r="E15" s="12" t="inlineStr">
        <is>
          <t>амниотическая жидкость: 49,7%; ткани плода: 47,7±1,8%</t>
        </is>
      </c>
      <c r="F15" s="12" t="inlineStr">
        <is>
          <t>Ji et al., 2021; https://doi.org/10.1007/s10815-021-02354-3</t>
        </is>
      </c>
      <c r="G15" s="13" t="inlineStr">
        <is>
          <t>индивидуальный случай или малая серия</t>
        </is>
      </c>
      <c r="H15" s="0" t="inlineStr">
        <is>
          <t>текст первоисточника</t>
        </is>
      </c>
    </row>
    <row r="16">
      <c r="A16" s="10" t="inlineStr">
        <is>
          <t>m.8993T&gt;G</t>
        </is>
      </c>
      <c r="B16" s="10" t="inlineStr">
        <is>
          <t>NARP/Leigh</t>
        </is>
      </c>
      <c r="C16" s="10" t="inlineStr">
        <is>
          <t>0–88,7% по извлечённым значениям</t>
        </is>
      </c>
      <c r="D16" s="10" t="inlineStr">
        <is>
          <t>переноса не было (бластоциста без детектируемой мутации была анеуплоидной)</t>
        </is>
      </c>
      <c r="E16" s="10" t="inlineStr">
        <is>
          <t>не применимо</t>
        </is>
      </c>
      <c r="F16" s="10" t="inlineStr">
        <is>
          <t>Spath et al., 2021; https://doi.org/10.1016/j.fertnstert.2021.01.026</t>
        </is>
      </c>
      <c r="G16" s="13" t="inlineStr">
        <is>
          <t>индивидуальный случай или малая серия</t>
        </is>
      </c>
      <c r="H16" s="0" t="inlineStr">
        <is>
          <t>Supplemental Table 3 первоисточника</t>
        </is>
      </c>
    </row>
    <row r="17">
      <c r="A17" s="12" t="inlineStr">
        <is>
          <t>m.8993T&gt;G</t>
        </is>
      </c>
      <c r="B17" s="12" t="inlineStr">
        <is>
          <t>NARP/Leigh / больной ребёнок в анамнезе</t>
        </is>
      </c>
      <c r="C17" s="12" t="inlineStr">
        <is>
          <t>0% / мутация не выявлена во всех исследованных ооцитах/эмбрионах</t>
        </is>
      </c>
      <c r="D17" s="12" t="inlineStr">
        <is>
          <t>0% / мутация не детектировалась</t>
        </is>
      </c>
      <c r="E17" s="12" t="inlineStr">
        <is>
          <t>пуповинная кровь: не детектировалась; буккальный мазок: не детектировалась</t>
        </is>
      </c>
      <c r="F17" s="12" t="inlineStr">
        <is>
          <t>Spath et al., 2021; https://doi.org/10.1016/j.fertnstert.2021.01.026</t>
        </is>
      </c>
      <c r="G17" s="13" t="inlineStr">
        <is>
          <t>индивидуальный случай или малая серия</t>
        </is>
      </c>
      <c r="H17" s="0" t="inlineStr">
        <is>
          <t>Supplemental Table 3 первоисточника</t>
        </is>
      </c>
    </row>
    <row r="18">
      <c r="A18" s="10" t="inlineStr">
        <is>
          <t>m.10191T&gt;C</t>
        </is>
      </c>
      <c r="B18" s="10" t="inlineStr">
        <is>
          <t>Leigh-синдром</t>
        </is>
      </c>
      <c r="C18" s="10" t="inlineStr">
        <is>
          <t>0% / m.10191T&gt;C не выявлена в исследованном репродуктивном материале</t>
        </is>
      </c>
      <c r="D18" s="10" t="inlineStr">
        <is>
          <t>0%; 0% / два эуплоидных эмбриона без мутации перенесены в разных циклах; живорождения после ПГТ не было</t>
        </is>
      </c>
      <c r="E18" s="10" t="inlineStr">
        <is>
          <t>после ПГТ: живорождения нет; естественная беременность позднее: CVS 0%</t>
        </is>
      </c>
      <c r="F18" s="10" t="inlineStr">
        <is>
          <t>Spath et al., 2021; https://doi.org/10.1016/j.fertnstert.2021.01.026</t>
        </is>
      </c>
      <c r="G18" s="13" t="inlineStr">
        <is>
          <t>индивидуальный случай или малая серия</t>
        </is>
      </c>
      <c r="H18" s="0" t="inlineStr">
        <is>
          <t>Supplemental Table 3 первоисточника</t>
        </is>
      </c>
    </row>
    <row r="19">
      <c r="A19" s="12" t="inlineStr">
        <is>
          <t>m.3243A&gt;G</t>
        </is>
      </c>
      <c r="B19" s="12" t="inlineStr">
        <is>
          <t>митохондриальная миопатия с птозом/офтальмоплегией</t>
        </is>
      </c>
      <c r="C19" s="12" t="inlineStr">
        <is>
          <t>0–38,0% по эмбрионам (для остановившихся эмбрионов — среднее двух половин; максимум отдельной половины 39,6%); бластоциста/ТЭ 3,1–29,2%</t>
        </is>
      </c>
      <c r="D19" s="12" t="inlineStr">
        <is>
          <t>0%; 0% / два эуплоидных эмбриона без мутации</t>
        </is>
      </c>
      <c r="E19" s="12" t="inlineStr">
        <is>
          <t>живорождения нет; обе беременности прервались на 8-й неделе</t>
        </is>
      </c>
      <c r="F19" s="12" t="inlineStr">
        <is>
          <t>Spath et al., 2021; https://doi.org/10.1016/j.fertnstert.2021.01.026</t>
        </is>
      </c>
      <c r="G19" s="13" t="inlineStr">
        <is>
          <t>индивидуальный случай или малая серия</t>
        </is>
      </c>
      <c r="H19" s="0" t="inlineStr">
        <is>
          <t>Supplemental Table 3 первоисточника; значения по эмбрионам пересчитаны как среднее двух половин (Supplemental Table 3: эмбрион 17 — 39,6/36,4 → 38,0), в соответствии с текстом первоисточника (5,7–38,0%)</t>
        </is>
      </c>
    </row>
    <row r="20">
      <c r="A20" s="10" t="inlineStr">
        <is>
          <t>m.10197G&gt;A</t>
        </is>
      </c>
      <c r="B20" s="10" t="inlineStr">
        <is>
          <t>Leigh-энцефалопатия</t>
        </is>
      </c>
      <c r="C20" s="10" t="inlineStr">
        <is>
          <t>1–96,5% (5/9 эмбрионов &lt;5%; 2/9 &gt;95%; два промежуточных — 26–45% и 84–88%)</t>
        </is>
      </c>
      <c r="D20" s="10" t="inlineStr">
        <is>
          <t>&lt;5%; &lt;5% / двойной перенос двух эмбрионов с очень низкой нагрузкой; точный уровень имплантировавшегося эмбриона не установлен</t>
        </is>
      </c>
      <c r="E20" s="10" t="inlineStr">
        <is>
          <t>амниотическая жидкость на 15-й неделе: вариант не выявлен; сигнал 0,17% был ниже уровня контрольного образца 0,28%, с оговоркой авторов об ограничениях пиросеквенирования при очень низкой нагрузке</t>
        </is>
      </c>
      <c r="F20" s="10" t="inlineStr">
        <is>
          <t>Mizuguchi et al., 2025; https://doi.org/10.1038/s41439-025-00311-5</t>
        </is>
      </c>
      <c r="G20" s="13" t="inlineStr">
        <is>
          <t>индивидуальный случай или малая серия</t>
        </is>
      </c>
      <c r="H20" s="0" t="inlineStr">
        <is>
          <t>рис. 2A первоисточника: значения сняты с графика</t>
        </is>
      </c>
    </row>
    <row r="21" ht="15.75" customHeight="1" s="32">
      <c r="A21" s="12" t="inlineStr">
        <is>
          <t>m.3243A&gt;G</t>
        </is>
      </c>
      <c r="B21" s="12" t="inlineStr">
        <is>
          <t>митохондриальный симптомокомплекс / PGT live-birth subset</t>
        </is>
      </c>
      <c r="C21" s="12" t="inlineStr">
        <is>
          <t>0–16,5% для live-birth-linked значений</t>
        </is>
      </c>
      <c r="D21" s="12" t="inlineStr">
        <is>
          <t>0%; 0%; 16,5%</t>
        </is>
      </c>
      <c r="E21" s="12" t="inlineStr">
        <is>
          <t>кровь детей в общей PGT-подгруппе: от неопределяемого уровня до 7%; не mutation-specific</t>
        </is>
      </c>
      <c r="F21" s="12" t="inlineStr">
        <is>
          <t>Hyslop et al., 2025; https://doi.org/10.1056/NEJMoa2415539</t>
        </is>
      </c>
      <c r="G21" s="13" t="inlineStr">
        <is>
          <t>когортные / агрегированные данные; постнатальные уровни опубликованы по всей ПГТ-подгруппе, индивидуальные пары «эмбрион–ребёнок» для отдельных вариантов не приведены</t>
        </is>
      </c>
      <c r="H21" s="0" t="inlineStr">
        <is>
          <t>Table 1 первоисточника; при двойном переносе — среднее двух значений</t>
        </is>
      </c>
    </row>
    <row r="22" ht="15.75" customHeight="1" s="32">
      <c r="A22" s="10" t="inlineStr">
        <is>
          <t>m.8993T&gt;G</t>
        </is>
      </c>
      <c r="B22" s="10" t="inlineStr">
        <is>
          <t>NARP/Leigh / PGT live-birth subset</t>
        </is>
      </c>
      <c r="C22" s="10" t="inlineStr">
        <is>
          <t>0%</t>
        </is>
      </c>
      <c r="D22" s="10" t="inlineStr">
        <is>
          <t>0%; 0%; 0% (три перенесённых эмбриона в двух циклах)</t>
        </is>
      </c>
      <c r="E22" s="10" t="inlineStr">
        <is>
          <t>кровь детей в общей PGT-подгруппе: от неопределяемого уровня до 7%; не mutation-specific</t>
        </is>
      </c>
      <c r="F22" s="10" t="inlineStr">
        <is>
          <t>Hyslop et al., 2025; https://doi.org/10.1056/NEJMoa2415539</t>
        </is>
      </c>
      <c r="G22" s="13" t="inlineStr">
        <is>
          <t>когортные / агрегированные данные; постнатальные уровни опубликованы по всей ПГТ-подгруппе, индивидуальные пары «эмбрион–ребёнок» для отдельных вариантов не приведены</t>
        </is>
      </c>
      <c r="H22" s="0" t="inlineStr">
        <is>
          <t>Table 1 первоисточника; при двойном переносе — среднее двух значений</t>
        </is>
      </c>
    </row>
    <row r="23" ht="15.75" customHeight="1" s="32">
      <c r="A23" s="12" t="inlineStr">
        <is>
          <t>m.8993T&gt;C</t>
        </is>
      </c>
      <c r="B23" s="12" t="inlineStr">
        <is>
          <t>NARP/Leigh / PGT live-birth subset</t>
        </is>
      </c>
      <c r="C23" s="12" t="inlineStr">
        <is>
          <t>0%</t>
        </is>
      </c>
      <c r="D23" s="12" t="inlineStr">
        <is>
          <t>0%</t>
        </is>
      </c>
      <c r="E23" s="12" t="inlineStr">
        <is>
          <t>кровь детей в общей PGT-подгруппе: от неопределяемого уровня до 7%; не mutation-specific</t>
        </is>
      </c>
      <c r="F23" s="12" t="inlineStr">
        <is>
          <t>Hyslop et al., 2025; https://doi.org/10.1056/NEJMoa2415539</t>
        </is>
      </c>
      <c r="G23" s="13" t="inlineStr">
        <is>
          <t>когортные / агрегированные данные; постнатальные уровни опубликованы по всей ПГТ-подгруппе, индивидуальные пары «эмбрион–ребёнок» для отдельных вариантов не приведены</t>
        </is>
      </c>
      <c r="H23" s="0" t="inlineStr">
        <is>
          <t>Table 1 первоисточника; при двойном переносе — среднее двух значений</t>
        </is>
      </c>
    </row>
    <row r="24" ht="15.75" customHeight="1" s="32">
      <c r="A24" s="10" t="inlineStr">
        <is>
          <t>m.10158T&gt;C</t>
        </is>
      </c>
      <c r="B24" s="10" t="inlineStr">
        <is>
          <t>митохондриальный симптомокомплекс / PGT live-birth subset</t>
        </is>
      </c>
      <c r="C24" s="10" t="inlineStr">
        <is>
          <t>0%</t>
        </is>
      </c>
      <c r="D24" s="10" t="inlineStr">
        <is>
          <t>0%; 0%; 0% (три перенесённых эмбриона в двух циклах)</t>
        </is>
      </c>
      <c r="E24" s="10" t="inlineStr">
        <is>
          <t>кровь детей в общей PGT-подгруппе: от неопределяемого уровня до 7%; не mutation-specific</t>
        </is>
      </c>
      <c r="F24" s="10" t="inlineStr">
        <is>
          <t>Hyslop et al., 2025; https://doi.org/10.1056/NEJMoa2415539</t>
        </is>
      </c>
      <c r="G24" s="13" t="inlineStr">
        <is>
          <t>когортные / агрегированные данные; постнатальные уровни опубликованы по всей ПГТ-подгруппе, индивидуальные пары «эмбрион–ребёнок» для отдельных вариантов не приведены</t>
        </is>
      </c>
      <c r="H24" s="0" t="inlineStr">
        <is>
          <t>Table 1 первоисточника; при двойном переносе — среднее двух значений</t>
        </is>
      </c>
    </row>
    <row r="25" ht="15.75" customHeight="1" s="32">
      <c r="A25" s="12" t="inlineStr">
        <is>
          <t>m.13094T&gt;C</t>
        </is>
      </c>
      <c r="B25" s="12" t="inlineStr">
        <is>
          <t>митохондриальный симптомокомплекс / PGT live-birth subset</t>
        </is>
      </c>
      <c r="C25" s="12" t="inlineStr">
        <is>
          <t>0%</t>
        </is>
      </c>
      <c r="D25" s="12" t="inlineStr">
        <is>
          <t>0%</t>
        </is>
      </c>
      <c r="E25" s="12" t="inlineStr">
        <is>
          <t>кровь детей в общей PGT-подгруппе: от неопределяемого уровня до 7%; не mutation-specific</t>
        </is>
      </c>
      <c r="F25" s="12" t="inlineStr">
        <is>
          <t>Hyslop et al., 2025; https://doi.org/10.1056/NEJMoa2415539</t>
        </is>
      </c>
      <c r="G25" s="13" t="inlineStr">
        <is>
          <t>когортные / агрегированные данные; постнатальные уровни опубликованы по всей ПГТ-подгруппе, индивидуальные пары «эмбрион–ребёнок» для отдельных вариантов не приведены</t>
        </is>
      </c>
      <c r="H25" s="0" t="inlineStr">
        <is>
          <t>Table 1 первоисточника; при двойном переносе — среднее двух значений</t>
        </is>
      </c>
    </row>
    <row r="26" ht="15.75" customHeight="1" s="32">
      <c r="A26" s="10" t="inlineStr">
        <is>
          <t>m.3688G&gt;A</t>
        </is>
      </c>
      <c r="B26" s="10" t="inlineStr">
        <is>
          <t>митохондриальный симптомокомплекс / PGT live-birth subset</t>
        </is>
      </c>
      <c r="C26" s="10" t="inlineStr">
        <is>
          <t>2,5%</t>
        </is>
      </c>
      <c r="D26" s="10" t="inlineStr">
        <is>
          <t>2,5%</t>
        </is>
      </c>
      <c r="E26" s="10" t="inlineStr">
        <is>
          <t>кровь детей в общей PGT-подгруппе: от неопределяемого уровня до 7%; не mutation-specific</t>
        </is>
      </c>
      <c r="F26" s="10" t="inlineStr">
        <is>
          <t>Hyslop et al., 2025; https://doi.org/10.1056/NEJMoa2415539</t>
        </is>
      </c>
      <c r="G26" s="13" t="inlineStr">
        <is>
          <t>когортные / агрегированные данные; постнатальные уровни опубликованы по всей ПГТ-подгруппе, индивидуальные пары «эмбрион–ребёнок» для отдельных вариантов не приведены</t>
        </is>
      </c>
      <c r="H26" s="0" t="inlineStr">
        <is>
          <t>Table 1 первоисточника; при двойном переносе — среднее двух значений</t>
        </is>
      </c>
    </row>
    <row r="27" ht="15.75" customHeight="1" s="32">
      <c r="A27" s="12" t="inlineStr">
        <is>
          <t>m.8344A&gt;G</t>
        </is>
      </c>
      <c r="B27" s="12" t="inlineStr">
        <is>
          <t>MERRF / embryology series; no transfer</t>
        </is>
      </c>
      <c r="C27" s="12" t="inlineStr">
        <is>
          <t>68–82% по фракциям ТЭ/ВКМ/оставшейся ТЭ</t>
        </is>
      </c>
      <c r="D27" s="12" t="inlineStr">
        <is>
          <t>переноса не было</t>
        </is>
      </c>
      <c r="E27" s="12" t="inlineStr">
        <is>
          <t>не применимо</t>
        </is>
      </c>
      <c r="F27" s="12" t="inlineStr">
        <is>
          <t>Rubens et al., 2025; https://doi.org/10.1093/humrep/deaf050</t>
        </is>
      </c>
      <c r="G27" s="13" t="inlineStr">
        <is>
          <t>индивидуальный случай или малая серия</t>
        </is>
      </c>
      <c r="H27" s="0" t="inlineStr">
        <is>
          <t>Supplementary Table S1 первоисточника</t>
        </is>
      </c>
    </row>
    <row r="28" ht="15.75" customHeight="1" s="32">
      <c r="A28" s="10" t="inlineStr">
        <is>
          <t>m.8993T&gt;C</t>
        </is>
      </c>
      <c r="B28" s="10" t="inlineStr">
        <is>
          <t>NARP/Leigh / embryology series; no transfer</t>
        </is>
      </c>
      <c r="C28" s="10" t="inlineStr">
        <is>
          <t>69–73%</t>
        </is>
      </c>
      <c r="D28" s="10" t="inlineStr">
        <is>
          <t>переноса не было</t>
        </is>
      </c>
      <c r="E28" s="10" t="inlineStr">
        <is>
          <t>не применимо</t>
        </is>
      </c>
      <c r="F28" s="10" t="inlineStr">
        <is>
          <t>Rubens et al., 2025; https://doi.org/10.1093/humrep/deaf050</t>
        </is>
      </c>
      <c r="G28" s="13" t="inlineStr">
        <is>
          <t>индивидуальный случай или малая серия</t>
        </is>
      </c>
      <c r="H28" s="0" t="inlineStr">
        <is>
          <t>Supplementary Table S1 первоисточника</t>
        </is>
      </c>
    </row>
    <row r="29" ht="15.75" customHeight="1" s="32">
      <c r="A29" s="12" t="inlineStr">
        <is>
          <t>m.13094T&gt;C</t>
        </is>
      </c>
      <c r="B29" s="12" t="inlineStr">
        <is>
          <t>митохондриальный симптомокомплекс / embryology series; no transfer</t>
        </is>
      </c>
      <c r="C29" s="12" t="inlineStr">
        <is>
          <t>71–92%</t>
        </is>
      </c>
      <c r="D29" s="12" t="inlineStr">
        <is>
          <t>переноса не было</t>
        </is>
      </c>
      <c r="E29" s="12" t="inlineStr">
        <is>
          <t>не применимо</t>
        </is>
      </c>
      <c r="F29" s="12" t="inlineStr">
        <is>
          <t>Rubens et al., 2025; https://doi.org/10.1093/humrep/deaf050</t>
        </is>
      </c>
      <c r="G29" s="13" t="inlineStr">
        <is>
          <t>индивидуальный случай или малая серия</t>
        </is>
      </c>
      <c r="H29" s="0" t="inlineStr">
        <is>
          <t>Supplementary Table S1 первоисточника</t>
        </is>
      </c>
    </row>
    <row r="30" ht="15.75" customHeight="1" s="32">
      <c r="A30" s="10" t="inlineStr">
        <is>
          <t>m.8993T&gt;G</t>
        </is>
      </c>
      <c r="B30" s="10" t="inlineStr">
        <is>
          <t>NARP/Leigh / embryology series; no transfer</t>
        </is>
      </c>
      <c r="C30" s="10" t="inlineStr">
        <is>
          <t>100%</t>
        </is>
      </c>
      <c r="D30" s="10" t="inlineStr">
        <is>
          <t>переноса не было</t>
        </is>
      </c>
      <c r="E30" s="10" t="inlineStr">
        <is>
          <t>не применимо</t>
        </is>
      </c>
      <c r="F30" s="10" t="inlineStr">
        <is>
          <t>Rubens et al., 2025; https://doi.org/10.1093/humrep/deaf050</t>
        </is>
      </c>
      <c r="G30" s="13" t="inlineStr">
        <is>
          <t>индивидуальный случай или малая серия</t>
        </is>
      </c>
      <c r="H30" s="0" t="inlineStr">
        <is>
          <t>Supplementary Table S1 первоисточника</t>
        </is>
      </c>
    </row>
    <row r="31" ht="15.75" customHeight="1" s="32">
      <c r="A31" s="12" t="inlineStr">
        <is>
          <t>m.3243A&gt;G</t>
        </is>
      </c>
      <c r="B31" s="12" t="inlineStr">
        <is>
          <t>MELAS/MIDD / embryology series; no transfer</t>
        </is>
      </c>
      <c r="C31" s="12" t="inlineStr">
        <is>
          <t>38% по извлечённому значению; полный диапазон в текущей сводке не верифицирован</t>
        </is>
      </c>
      <c r="D31" s="12" t="inlineStr">
        <is>
          <t>переноса не было</t>
        </is>
      </c>
      <c r="E31" s="12" t="inlineStr">
        <is>
          <t>не применимо</t>
        </is>
      </c>
      <c r="F31" s="12" t="inlineStr">
        <is>
          <t>Rubens et al., 2025; https://doi.org/10.1093/humrep/deaf050</t>
        </is>
      </c>
      <c r="G31" s="13" t="inlineStr">
        <is>
          <t>индивидуальный случай или малая серия</t>
        </is>
      </c>
      <c r="H31" s="0" t="inlineStr">
        <is>
          <t>Supplementary Table S1 первоисточника</t>
        </is>
      </c>
    </row>
    <row r="32" ht="15.75" customHeight="1" s="32">
      <c r="A32" s="10" t="inlineStr">
        <is>
          <t>несколько вариантов</t>
        </is>
      </c>
      <c r="B32" s="10" t="inlineStr">
        <is>
          <t>MELAS, MERRF, NARP, Leigh и родственные фенотипы</t>
        </is>
      </c>
      <c r="C32" s="10" t="inlineStr">
        <is>
          <t>н/д по женщинам в текущей сводке</t>
        </is>
      </c>
      <c r="D32" s="10" t="inlineStr">
        <is>
          <t>н/д; 5 беременностей, 3 живорождения после ПГТ-мт</t>
        </is>
      </c>
      <c r="E32" s="10" t="inlineStr">
        <is>
          <t>н/д в доступной основной таблице</t>
        </is>
      </c>
      <c r="F32" s="10" t="inlineStr">
        <is>
          <t>Mayeur et al., 2023; https://doi.org/10.1016/j.rbmo.2023.02.010</t>
        </is>
      </c>
      <c r="G32" s="13" t="inlineStr">
        <is>
          <t>когортные / агрегированные данные</t>
        </is>
      </c>
      <c r="H32" s="0" t="inlineStr">
        <is>
          <t>индивидуальные значения по эмбрионам в первоисточнике не публиковались</t>
        </is>
      </c>
    </row>
    <row r="33" ht="15.75" customHeight="1" s="32">
      <c r="A33" s="10" t="inlineStr">
        <is>
          <t>m.3250T&gt;C</t>
        </is>
      </c>
      <c r="B33" s="10" t="inlineStr">
        <is>
          <t>MT-TL1, вариант неопределённого клинического значения (описаны миопатия, кардиомиопатия); в семье — синдром Айкарди–Гутьер 3 (RNASEH2C); совмещённое ПГТ-М + ПГТ-мт + ПГТ-А</t>
        </is>
      </c>
      <c r="C33" s="10" t="inlineStr">
        <is>
          <t>0–17,8%: 6 бластоцист (биоптат ТЭ, 3–5 клеток, д5–д7) — 17,8; 0; 0; 0; 1,8; 8,1%; 2 остановившихся эмбриона целиком — 0; 0%. Мать: кровь 20,2%, моча 21,7%, буккальный эпителий 27,9%</t>
        </is>
      </c>
      <c r="D33" s="10" t="inlineStr">
        <is>
          <t>1,8% (эуплоидная бластоциста, гетерозигота по c.194G&gt;A RNASEH2C)</t>
        </is>
      </c>
      <c r="E33" s="10" t="inlineStr">
        <is>
          <t>амниотическая жидкость (18 нед): 1,5%; пуповинная кровь: 0%; кровь и буккальный эпителий в 2 года: 0%; здоровый мальчик</t>
        </is>
      </c>
      <c r="F33" s="10" t="inlineStr">
        <is>
          <t>Hu et al., 2026; https://doi.org/10.1007/s10815-026-04041-7</t>
        </is>
      </c>
      <c r="G33" s="13" t="inlineStr">
        <is>
          <t>индивидуальный случай или малая серия</t>
        </is>
      </c>
      <c r="H33" s="0" t="inlineStr">
        <is>
          <t>Fig. 2 и Supplementary Table S1 первоисточника; 0% = ниже порога 1,0% (NGS, глубина ≥10 000×)</t>
        </is>
      </c>
    </row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2">
    <mergeCell ref="A2:F2"/>
    <mergeCell ref="A1:F1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ColWidth="12.63" defaultRowHeight="15" customHeight="1"/>
  <cols>
    <col width="10.5" customWidth="1" style="32" min="1" max="1"/>
    <col width="17.88" customWidth="1" style="32" min="2" max="2"/>
    <col width="44.13" customWidth="1" style="32" min="3" max="3"/>
    <col width="50" customWidth="1" style="32" min="4" max="4"/>
    <col width="30.5" customWidth="1" style="32" min="5" max="5"/>
    <col width="34.63" customWidth="1" style="32" min="6" max="6"/>
    <col width="26" customWidth="1" style="32" min="7" max="8"/>
    <col width="52" customWidth="1" style="32" min="9" max="9"/>
    <col width="8.630000000000001" customWidth="1" style="32" min="10" max="26"/>
  </cols>
  <sheetData>
    <row r="1" ht="21.75" customHeight="1" s="32">
      <c r="A1" s="33" t="inlineStr">
        <is>
          <t>Рисунок 3 — Распределение гетероплазмии между эмбрионами (n=187)</t>
        </is>
      </c>
    </row>
    <row r="2" ht="33.75" customHeight="1" s="32">
      <c r="A2" s="34" t="inlineStr">
        <is>
          <t>Каждая строка — один эмбрион (n=187). Точные числа приведены в B; два опубликованных диапазона m.10197G&gt;A приведены в G:H без импутации середины.</t>
        </is>
      </c>
    </row>
    <row r="3" ht="30" customHeight="1" s="32">
      <c r="A3" s="6" t="inlineStr">
        <is>
          <t>Мутация</t>
        </is>
      </c>
      <c r="B3" s="6" t="inlineStr">
        <is>
          <t>Гетероплазмия, %</t>
        </is>
      </c>
      <c r="C3" s="6" t="inlineStr">
        <is>
          <t>Стадия эмбриона</t>
        </is>
      </c>
      <c r="D3" s="6" t="inlineStr">
        <is>
          <t>Материал</t>
        </is>
      </c>
      <c r="E3" s="6" t="inlineStr">
        <is>
          <t>Источник</t>
        </is>
      </c>
      <c r="F3" s="6" t="inlineStr">
        <is>
          <t>DOI</t>
        </is>
      </c>
      <c r="G3" s="6" t="inlineStr">
        <is>
          <t>Нижняя граница диапазона, %</t>
        </is>
      </c>
      <c r="H3" s="6" t="inlineStr">
        <is>
          <t>Верхняя граница диапазона, %</t>
        </is>
      </c>
      <c r="I3" s="6" t="inlineStr">
        <is>
          <t>Тип значения / примечание</t>
        </is>
      </c>
    </row>
    <row r="4">
      <c r="A4" s="10" t="inlineStr">
        <is>
          <t>m.3243A&gt;G</t>
        </is>
      </c>
      <c r="B4" s="10" t="n">
        <v>0</v>
      </c>
      <c r="C4" s="10" t="inlineStr">
        <is>
          <t>blastocyst</t>
        </is>
      </c>
      <c r="D4" s="10" t="inlineStr">
        <is>
          <t>TE biopsy</t>
        </is>
      </c>
      <c r="E4" s="10" t="inlineStr">
        <is>
          <t>Heindryckx 2014 Mitochondrion</t>
        </is>
      </c>
      <c r="F4" s="10" t="inlineStr">
        <is>
          <t>10.1016/j.mito.2014.08.005</t>
        </is>
      </c>
    </row>
    <row r="5">
      <c r="A5" s="10" t="inlineStr">
        <is>
          <t>m.3243A&gt;G</t>
        </is>
      </c>
      <c r="B5" s="10" t="n">
        <v>40.3</v>
      </c>
      <c r="C5" s="10" t="inlineStr">
        <is>
          <t>blastocyst</t>
        </is>
      </c>
      <c r="D5" s="10" t="inlineStr">
        <is>
          <t>TE biopsy</t>
        </is>
      </c>
      <c r="E5" s="10" t="inlineStr">
        <is>
          <t>Heindryckx 2014 Mitochondrion</t>
        </is>
      </c>
      <c r="F5" s="10" t="inlineStr">
        <is>
          <t>10.1016/j.mito.2014.08.005</t>
        </is>
      </c>
    </row>
    <row r="6">
      <c r="A6" s="10" t="inlineStr">
        <is>
          <t>m.3243A&gt;G</t>
        </is>
      </c>
      <c r="B6" s="10" t="n">
        <v>28.2</v>
      </c>
      <c r="C6" s="10" t="inlineStr">
        <is>
          <t>blastocyst</t>
        </is>
      </c>
      <c r="D6" s="10" t="inlineStr">
        <is>
          <t>TE biopsy</t>
        </is>
      </c>
      <c r="E6" s="10" t="inlineStr">
        <is>
          <t>Heindryckx 2014 Mitochondrion</t>
        </is>
      </c>
      <c r="F6" s="10" t="inlineStr">
        <is>
          <t>10.1016/j.mito.2014.08.005</t>
        </is>
      </c>
    </row>
    <row r="7">
      <c r="A7" s="10" t="inlineStr">
        <is>
          <t>m.3243A&gt;G</t>
        </is>
      </c>
      <c r="B7" s="10" t="n">
        <v>0</v>
      </c>
      <c r="C7" s="10" t="inlineStr">
        <is>
          <t>blastocyst</t>
        </is>
      </c>
      <c r="D7" s="10" t="inlineStr">
        <is>
          <t>TE biopsy</t>
        </is>
      </c>
      <c r="E7" s="10" t="inlineStr">
        <is>
          <t>Heindryckx 2014 Mitochondrion</t>
        </is>
      </c>
      <c r="F7" s="10" t="inlineStr">
        <is>
          <t>10.1016/j.mito.2014.08.005</t>
        </is>
      </c>
    </row>
    <row r="8">
      <c r="A8" s="10" t="inlineStr">
        <is>
          <t>m.3243A&gt;G</t>
        </is>
      </c>
      <c r="B8" s="10" t="n">
        <v>15.3</v>
      </c>
      <c r="C8" s="10" t="inlineStr">
        <is>
          <t>blastocyst</t>
        </is>
      </c>
      <c r="D8" s="10" t="inlineStr">
        <is>
          <t>TE biopsy</t>
        </is>
      </c>
      <c r="E8" s="10" t="inlineStr">
        <is>
          <t>Heindryckx 2014 Mitochondrion</t>
        </is>
      </c>
      <c r="F8" s="10" t="inlineStr">
        <is>
          <t>10.1016/j.mito.2014.08.005</t>
        </is>
      </c>
    </row>
    <row r="9">
      <c r="A9" s="10" t="inlineStr">
        <is>
          <t>m.3243A&gt;G</t>
        </is>
      </c>
      <c r="B9" s="10" t="n">
        <v>62</v>
      </c>
      <c r="C9" s="10" t="inlineStr">
        <is>
          <t>blastocyst</t>
        </is>
      </c>
      <c r="D9" s="10" t="inlineStr">
        <is>
          <t>TE biopsy</t>
        </is>
      </c>
      <c r="E9" s="10" t="inlineStr">
        <is>
          <t>Heindryckx 2014 Mitochondrion</t>
        </is>
      </c>
      <c r="F9" s="10" t="inlineStr">
        <is>
          <t>10.1016/j.mito.2014.08.005</t>
        </is>
      </c>
    </row>
    <row r="10">
      <c r="A10" s="10" t="inlineStr">
        <is>
          <t>m.3243A&gt;G</t>
        </is>
      </c>
      <c r="B10" s="10" t="n">
        <v>11.4</v>
      </c>
      <c r="C10" s="10" t="inlineStr">
        <is>
          <t>blastocyst</t>
        </is>
      </c>
      <c r="D10" s="10" t="inlineStr">
        <is>
          <t>TE biopsy</t>
        </is>
      </c>
      <c r="E10" s="10" t="inlineStr">
        <is>
          <t>Heindryckx 2014 Mitochondrion</t>
        </is>
      </c>
      <c r="F10" s="10" t="inlineStr">
        <is>
          <t>10.1016/j.mito.2014.08.005</t>
        </is>
      </c>
    </row>
    <row r="11">
      <c r="A11" s="10" t="inlineStr">
        <is>
          <t>m.3243A&gt;G</t>
        </is>
      </c>
      <c r="B11" s="10" t="n">
        <v>27.8</v>
      </c>
      <c r="C11" s="10" t="inlineStr">
        <is>
          <t>blastocyst</t>
        </is>
      </c>
      <c r="D11" s="10" t="inlineStr">
        <is>
          <t>TE biopsy</t>
        </is>
      </c>
      <c r="E11" s="10" t="inlineStr">
        <is>
          <t>Heindryckx 2014 Mitochondrion</t>
        </is>
      </c>
      <c r="F11" s="10" t="inlineStr">
        <is>
          <t>10.1016/j.mito.2014.08.005</t>
        </is>
      </c>
    </row>
    <row r="12">
      <c r="A12" s="10" t="inlineStr">
        <is>
          <t>m.3243A&gt;G</t>
        </is>
      </c>
      <c r="B12" s="10" t="n">
        <v>8.4</v>
      </c>
      <c r="C12" s="10" t="inlineStr">
        <is>
          <t>blastocyst</t>
        </is>
      </c>
      <c r="D12" s="10" t="inlineStr">
        <is>
          <t>TE biopsy</t>
        </is>
      </c>
      <c r="E12" s="10" t="inlineStr">
        <is>
          <t>Heindryckx 2014 Mitochondrion</t>
        </is>
      </c>
      <c r="F12" s="10" t="inlineStr">
        <is>
          <t>10.1016/j.mito.2014.08.005</t>
        </is>
      </c>
    </row>
    <row r="13">
      <c r="A13" s="10" t="inlineStr">
        <is>
          <t>m.3243A&gt;G</t>
        </is>
      </c>
      <c r="B13" s="10" t="n">
        <v>12.3</v>
      </c>
      <c r="C13" s="10" t="inlineStr">
        <is>
          <t>blastocyst</t>
        </is>
      </c>
      <c r="D13" s="10" t="inlineStr">
        <is>
          <t>TE biopsy</t>
        </is>
      </c>
      <c r="E13" s="10" t="inlineStr">
        <is>
          <t>Heindryckx 2014 Mitochondrion</t>
        </is>
      </c>
      <c r="F13" s="10" t="inlineStr">
        <is>
          <t>10.1016/j.mito.2014.08.005</t>
        </is>
      </c>
    </row>
    <row r="14">
      <c r="A14" s="10" t="inlineStr">
        <is>
          <t>m.3243A&gt;G</t>
        </is>
      </c>
      <c r="B14" s="10" t="n">
        <v>11.3</v>
      </c>
      <c r="C14" s="10" t="inlineStr">
        <is>
          <t>blastocyst</t>
        </is>
      </c>
      <c r="D14" s="10" t="inlineStr">
        <is>
          <t>TE biopsy</t>
        </is>
      </c>
      <c r="E14" s="10" t="inlineStr">
        <is>
          <t>Heindryckx 2014 Mitochondrion</t>
        </is>
      </c>
      <c r="F14" s="10" t="inlineStr">
        <is>
          <t>10.1016/j.mito.2014.08.005</t>
        </is>
      </c>
    </row>
    <row r="15">
      <c r="A15" s="12" t="inlineStr">
        <is>
          <t>m.3243A&gt;G</t>
        </is>
      </c>
      <c r="B15" s="12" t="n">
        <v>0</v>
      </c>
      <c r="C15" s="12" t="inlineStr">
        <is>
          <t>transferred embryo(s) linked to live birth</t>
        </is>
      </c>
      <c r="D15" s="12" t="inlineStr">
        <is>
          <t>test blastomere(s)</t>
        </is>
      </c>
      <c r="E15" s="12" t="inlineStr">
        <is>
          <t>Hyslop 2025 NEJM</t>
        </is>
      </c>
      <c r="F15" s="12" t="inlineStr">
        <is>
          <t>10.1056/NEJMoa2415539</t>
        </is>
      </c>
    </row>
    <row r="16">
      <c r="A16" s="10" t="inlineStr">
        <is>
          <t>m.3243A&gt;G</t>
        </is>
      </c>
      <c r="B16" s="10" t="n">
        <v>0</v>
      </c>
      <c r="C16" s="10" t="inlineStr">
        <is>
          <t>transferred embryo(s) linked to live birth</t>
        </is>
      </c>
      <c r="D16" s="10" t="inlineStr">
        <is>
          <t>test blastomere(s)</t>
        </is>
      </c>
      <c r="E16" s="10" t="inlineStr">
        <is>
          <t>Hyslop 2025 NEJM</t>
        </is>
      </c>
      <c r="F16" s="10" t="inlineStr">
        <is>
          <t>10.1056/NEJMoa2415539</t>
        </is>
      </c>
    </row>
    <row r="17">
      <c r="A17" s="12" t="inlineStr">
        <is>
          <t>m.3243A&gt;G</t>
        </is>
      </c>
      <c r="B17" s="12" t="n">
        <v>0</v>
      </c>
      <c r="C17" s="12" t="inlineStr">
        <is>
          <t>cleavage/blastocyst-stage analyzed embryo</t>
        </is>
      </c>
      <c r="D17" s="12" t="inlineStr">
        <is>
          <t>blastomeres and/or whole embryo fractions</t>
        </is>
      </c>
      <c r="E17" s="12" t="inlineStr">
        <is>
          <t>Monnot 2011 Hum Mutat</t>
        </is>
      </c>
      <c r="F17" s="12" t="inlineStr">
        <is>
          <t>10.1002/humu.21417</t>
        </is>
      </c>
    </row>
    <row r="18">
      <c r="A18" s="10" t="inlineStr">
        <is>
          <t>m.3243A&gt;G</t>
        </is>
      </c>
      <c r="B18" s="10" t="n">
        <v>0</v>
      </c>
      <c r="C18" s="10" t="inlineStr">
        <is>
          <t>cleavage/blastocyst-stage analyzed embryo</t>
        </is>
      </c>
      <c r="D18" s="10" t="inlineStr">
        <is>
          <t>blastomeres and/or whole embryo fractions</t>
        </is>
      </c>
      <c r="E18" s="10" t="inlineStr">
        <is>
          <t>Monnot 2011 Hum Mutat</t>
        </is>
      </c>
      <c r="F18" s="10" t="inlineStr">
        <is>
          <t>10.1002/humu.21417</t>
        </is>
      </c>
    </row>
    <row r="19">
      <c r="A19" s="12" t="inlineStr">
        <is>
          <t>m.3243A&gt;G</t>
        </is>
      </c>
      <c r="B19" s="12" t="n">
        <v>0</v>
      </c>
      <c r="C19" s="12" t="inlineStr">
        <is>
          <t>cleavage/blastocyst-stage analyzed embryo</t>
        </is>
      </c>
      <c r="D19" s="12" t="inlineStr">
        <is>
          <t>blastomeres and/or whole embryo fractions</t>
        </is>
      </c>
      <c r="E19" s="12" t="inlineStr">
        <is>
          <t>Monnot 2011 Hum Mutat</t>
        </is>
      </c>
      <c r="F19" s="12" t="inlineStr">
        <is>
          <t>10.1002/humu.21417</t>
        </is>
      </c>
    </row>
    <row r="20">
      <c r="A20" s="10" t="inlineStr">
        <is>
          <t>m.3243A&gt;G</t>
        </is>
      </c>
      <c r="B20" s="10" t="n">
        <v>0</v>
      </c>
      <c r="C20" s="10" t="inlineStr">
        <is>
          <t>cleavage/blastocyst-stage analyzed embryo</t>
        </is>
      </c>
      <c r="D20" s="10" t="inlineStr">
        <is>
          <t>blastomeres and/or whole embryo fractions</t>
        </is>
      </c>
      <c r="E20" s="10" t="inlineStr">
        <is>
          <t>Monnot 2011 Hum Mutat</t>
        </is>
      </c>
      <c r="F20" s="10" t="inlineStr">
        <is>
          <t>10.1002/humu.21417</t>
        </is>
      </c>
    </row>
    <row r="21">
      <c r="A21" s="12" t="inlineStr">
        <is>
          <t>m.3243A&gt;G</t>
        </is>
      </c>
      <c r="B21" s="12" t="n">
        <v>0</v>
      </c>
      <c r="C21" s="12" t="inlineStr">
        <is>
          <t>cleavage/blastocyst-stage analyzed embryo</t>
        </is>
      </c>
      <c r="D21" s="12" t="inlineStr">
        <is>
          <t>blastomeres and/or whole embryo fractions</t>
        </is>
      </c>
      <c r="E21" s="12" t="inlineStr">
        <is>
          <t>Monnot 2011 Hum Mutat</t>
        </is>
      </c>
      <c r="F21" s="12" t="inlineStr">
        <is>
          <t>10.1002/humu.21417</t>
        </is>
      </c>
    </row>
    <row r="22">
      <c r="A22" s="10" t="inlineStr">
        <is>
          <t>m.3243A&gt;G</t>
        </is>
      </c>
      <c r="B22" s="10" t="n">
        <v>0</v>
      </c>
      <c r="C22" s="10" t="inlineStr">
        <is>
          <t>cleavage/blastocyst-stage analyzed embryo</t>
        </is>
      </c>
      <c r="D22" s="10" t="inlineStr">
        <is>
          <t>blastomeres and/or whole embryo fractions</t>
        </is>
      </c>
      <c r="E22" s="10" t="inlineStr">
        <is>
          <t>Monnot 2011 Hum Mutat</t>
        </is>
      </c>
      <c r="F22" s="10" t="inlineStr">
        <is>
          <t>10.1002/humu.21417</t>
        </is>
      </c>
    </row>
    <row r="23">
      <c r="A23" s="12" t="inlineStr">
        <is>
          <t>m.3243A&gt;G</t>
        </is>
      </c>
      <c r="B23" s="12" t="n">
        <v>0</v>
      </c>
      <c r="C23" s="12" t="inlineStr">
        <is>
          <t>blastocyst/embryo sample</t>
        </is>
      </c>
      <c r="D23" s="12" t="inlineStr">
        <is>
          <t>half embryo</t>
        </is>
      </c>
      <c r="E23" s="12" t="inlineStr">
        <is>
          <t>Spath 2021 Fertil Steril</t>
        </is>
      </c>
      <c r="F23" s="12" t="inlineStr">
        <is>
          <t>10.1016/j.fertnstert.2021.01.026</t>
        </is>
      </c>
    </row>
    <row r="24">
      <c r="A24" s="10" t="inlineStr">
        <is>
          <t>m.3243A&gt;G</t>
        </is>
      </c>
      <c r="B24" s="10" t="n">
        <v>0</v>
      </c>
      <c r="C24" s="10" t="inlineStr">
        <is>
          <t>blastocyst/embryo sample</t>
        </is>
      </c>
      <c r="D24" s="10" t="inlineStr">
        <is>
          <t>TE biopsy</t>
        </is>
      </c>
      <c r="E24" s="10" t="inlineStr">
        <is>
          <t>Spath 2021 Fertil Steril</t>
        </is>
      </c>
      <c r="F24" s="10" t="inlineStr">
        <is>
          <t>10.1016/j.fertnstert.2021.01.026</t>
        </is>
      </c>
    </row>
    <row r="25">
      <c r="A25" s="12" t="inlineStr">
        <is>
          <t>m.3243A&gt;G</t>
        </is>
      </c>
      <c r="B25" s="12" t="n">
        <v>0</v>
      </c>
      <c r="C25" s="12" t="inlineStr">
        <is>
          <t>blastocyst/embryo sample</t>
        </is>
      </c>
      <c r="D25" s="12" t="inlineStr">
        <is>
          <t>TE biopsy</t>
        </is>
      </c>
      <c r="E25" s="12" t="inlineStr">
        <is>
          <t>Spath 2021 Fertil Steril</t>
        </is>
      </c>
      <c r="F25" s="12" t="inlineStr">
        <is>
          <t>10.1016/j.fertnstert.2021.01.026</t>
        </is>
      </c>
    </row>
    <row r="26">
      <c r="A26" s="10" t="inlineStr">
        <is>
          <t>m.3243A&gt;G</t>
        </is>
      </c>
      <c r="B26" s="10" t="n">
        <v>0</v>
      </c>
      <c r="C26" s="10" t="inlineStr">
        <is>
          <t>blastocyst/embryo sample</t>
        </is>
      </c>
      <c r="D26" s="10" t="inlineStr">
        <is>
          <t>TE biopsy</t>
        </is>
      </c>
      <c r="E26" s="10" t="inlineStr">
        <is>
          <t>Spath 2021 Fertil Steril</t>
        </is>
      </c>
      <c r="F26" s="10" t="inlineStr">
        <is>
          <t>10.1016/j.fertnstert.2021.01.026</t>
        </is>
      </c>
    </row>
    <row r="27">
      <c r="A27" s="12" t="inlineStr">
        <is>
          <t>m.3243A&gt;G</t>
        </is>
      </c>
      <c r="B27" s="12" t="n">
        <v>0</v>
      </c>
      <c r="C27" s="12" t="inlineStr">
        <is>
          <t>blastocyst/embryo sample</t>
        </is>
      </c>
      <c r="D27" s="12" t="inlineStr">
        <is>
          <t>TE biopsy</t>
        </is>
      </c>
      <c r="E27" s="12" t="inlineStr">
        <is>
          <t>Spath 2021 Fertil Steril</t>
        </is>
      </c>
      <c r="F27" s="12" t="inlineStr">
        <is>
          <t>10.1016/j.fertnstert.2021.01.026</t>
        </is>
      </c>
    </row>
    <row r="28">
      <c r="A28" s="10" t="inlineStr">
        <is>
          <t>m.3243A&gt;G</t>
        </is>
      </c>
      <c r="B28" s="10" t="n">
        <v>0</v>
      </c>
      <c r="C28" s="10" t="inlineStr">
        <is>
          <t>blastocyst/embryo sample</t>
        </is>
      </c>
      <c r="D28" s="10" t="inlineStr">
        <is>
          <t>half embryo</t>
        </is>
      </c>
      <c r="E28" s="10" t="inlineStr">
        <is>
          <t>Spath 2021 Fertil Steril</t>
        </is>
      </c>
      <c r="F28" s="10" t="inlineStr">
        <is>
          <t>10.1016/j.fertnstert.2021.01.026</t>
        </is>
      </c>
    </row>
    <row r="29">
      <c r="A29" s="12" t="inlineStr">
        <is>
          <t>m.3243A&gt;G</t>
        </is>
      </c>
      <c r="B29" s="12" t="n">
        <v>0</v>
      </c>
      <c r="C29" s="12" t="inlineStr">
        <is>
          <t>blastocyst/embryo sample</t>
        </is>
      </c>
      <c r="D29" s="12" t="inlineStr">
        <is>
          <t>TE biopsy</t>
        </is>
      </c>
      <c r="E29" s="12" t="inlineStr">
        <is>
          <t>Spath 2021 Fertil Steril</t>
        </is>
      </c>
      <c r="F29" s="12" t="inlineStr">
        <is>
          <t>10.1016/j.fertnstert.2021.01.026</t>
        </is>
      </c>
    </row>
    <row r="30">
      <c r="A30" s="10" t="inlineStr">
        <is>
          <t>m.3243A&gt;G</t>
        </is>
      </c>
      <c r="B30" s="10" t="n">
        <v>0</v>
      </c>
      <c r="C30" s="10" t="inlineStr">
        <is>
          <t>blastocyst/embryo sample</t>
        </is>
      </c>
      <c r="D30" s="10" t="inlineStr">
        <is>
          <t>half embryo</t>
        </is>
      </c>
      <c r="E30" s="10" t="inlineStr">
        <is>
          <t>Spath 2021 Fertil Steril</t>
        </is>
      </c>
      <c r="F30" s="10" t="inlineStr">
        <is>
          <t>10.1016/j.fertnstert.2021.01.026</t>
        </is>
      </c>
    </row>
    <row r="31">
      <c r="A31" s="12" t="inlineStr">
        <is>
          <t>m.3243A&gt;G</t>
        </is>
      </c>
      <c r="B31" s="12" t="n">
        <v>0</v>
      </c>
      <c r="C31" s="12" t="inlineStr">
        <is>
          <t>blastocyst/embryo sample</t>
        </is>
      </c>
      <c r="D31" s="12" t="inlineStr">
        <is>
          <t>half embryo</t>
        </is>
      </c>
      <c r="E31" s="12" t="inlineStr">
        <is>
          <t>Spath 2021 Fertil Steril</t>
        </is>
      </c>
      <c r="F31" s="12" t="inlineStr">
        <is>
          <t>10.1016/j.fertnstert.2021.01.026</t>
        </is>
      </c>
    </row>
    <row r="32">
      <c r="A32" s="10" t="inlineStr">
        <is>
          <t>m.3243A&gt;G</t>
        </is>
      </c>
      <c r="B32" s="10" t="n">
        <v>0</v>
      </c>
      <c r="C32" s="10" t="inlineStr">
        <is>
          <t>blastocyst/embryo sample</t>
        </is>
      </c>
      <c r="D32" s="10" t="inlineStr">
        <is>
          <t>half embryo</t>
        </is>
      </c>
      <c r="E32" s="10" t="inlineStr">
        <is>
          <t>Spath 2021 Fertil Steril</t>
        </is>
      </c>
      <c r="F32" s="10" t="inlineStr">
        <is>
          <t>10.1016/j.fertnstert.2021.01.026</t>
        </is>
      </c>
    </row>
    <row r="33">
      <c r="A33" s="12" t="inlineStr">
        <is>
          <t>m.3243A&gt;G</t>
        </is>
      </c>
      <c r="B33" s="12" t="n">
        <v>0</v>
      </c>
      <c r="C33" s="12" t="inlineStr">
        <is>
          <t>blastocyst/embryo sample</t>
        </is>
      </c>
      <c r="D33" s="12" t="inlineStr">
        <is>
          <t>whole embryo</t>
        </is>
      </c>
      <c r="E33" s="12" t="inlineStr">
        <is>
          <t>Spath 2021 Fertil Steril</t>
        </is>
      </c>
      <c r="F33" s="12" t="inlineStr">
        <is>
          <t>10.1016/j.fertnstert.2021.01.026</t>
        </is>
      </c>
    </row>
    <row r="34">
      <c r="A34" s="10" t="inlineStr">
        <is>
          <t>m.3243A&gt;G</t>
        </is>
      </c>
      <c r="B34" s="10" t="n">
        <v>0</v>
      </c>
      <c r="C34" s="10" t="inlineStr">
        <is>
          <t>blastocyst/embryo sample</t>
        </is>
      </c>
      <c r="D34" s="10" t="inlineStr">
        <is>
          <t>TE biopsy</t>
        </is>
      </c>
      <c r="E34" s="10" t="inlineStr">
        <is>
          <t>Spath 2021 Fertil Steril</t>
        </is>
      </c>
      <c r="F34" s="10" t="inlineStr">
        <is>
          <t>10.1016/j.fertnstert.2021.01.026</t>
        </is>
      </c>
    </row>
    <row r="35">
      <c r="A35" s="12" t="inlineStr">
        <is>
          <t>m.3243A&gt;G</t>
        </is>
      </c>
      <c r="B35" s="12" t="n">
        <v>3.1</v>
      </c>
      <c r="C35" s="12" t="inlineStr">
        <is>
          <t>blastocyst/embryo sample</t>
        </is>
      </c>
      <c r="D35" s="12" t="inlineStr">
        <is>
          <t>TE biopsy</t>
        </is>
      </c>
      <c r="E35" s="12" t="inlineStr">
        <is>
          <t>Spath 2021 Fertil Steril</t>
        </is>
      </c>
      <c r="F35" s="12" t="inlineStr">
        <is>
          <t>10.1016/j.fertnstert.2021.01.026</t>
        </is>
      </c>
    </row>
    <row r="36">
      <c r="A36" s="10" t="inlineStr">
        <is>
          <t>m.3243A&gt;G</t>
        </is>
      </c>
      <c r="B36" s="10" t="n">
        <v>5</v>
      </c>
      <c r="C36" s="10" t="inlineStr">
        <is>
          <t>cleavage/blastocyst-stage analyzed embryo</t>
        </is>
      </c>
      <c r="D36" s="10" t="inlineStr">
        <is>
          <t>blastomeres and/or whole embryo fractions</t>
        </is>
      </c>
      <c r="E36" s="10" t="inlineStr">
        <is>
          <t>Monnot 2011 Hum Mutat</t>
        </is>
      </c>
      <c r="F36" s="10" t="inlineStr">
        <is>
          <t>10.1002/humu.21417</t>
        </is>
      </c>
    </row>
    <row r="37">
      <c r="A37" s="12" t="inlineStr">
        <is>
          <t>m.3243A&gt;G</t>
        </is>
      </c>
      <c r="B37" s="12" t="n">
        <v>5.7</v>
      </c>
      <c r="C37" s="12" t="inlineStr">
        <is>
          <t>blastocyst/embryo sample</t>
        </is>
      </c>
      <c r="D37" s="12" t="inlineStr">
        <is>
          <t>half embryo</t>
        </is>
      </c>
      <c r="E37" s="12" t="inlineStr">
        <is>
          <t>Spath 2021 Fertil Steril</t>
        </is>
      </c>
      <c r="F37" s="12" t="inlineStr">
        <is>
          <t>10.1016/j.fertnstert.2021.01.026</t>
        </is>
      </c>
    </row>
    <row r="38">
      <c r="A38" s="10" t="inlineStr">
        <is>
          <t>m.3243A&gt;G</t>
        </is>
      </c>
      <c r="B38" s="10" t="n">
        <v>7</v>
      </c>
      <c r="C38" s="10" t="inlineStr">
        <is>
          <t>cleavage stage</t>
        </is>
      </c>
      <c r="D38" s="10" t="inlineStr">
        <is>
          <t>multiple blastomeres / whole embryo</t>
        </is>
      </c>
      <c r="E38" s="10" t="inlineStr">
        <is>
          <t>Treff 2012 Fertil Steril</t>
        </is>
      </c>
      <c r="F38" s="10" t="inlineStr">
        <is>
          <t>10.1016/j.fertnstert.2012.07.1119</t>
        </is>
      </c>
    </row>
    <row r="39">
      <c r="A39" s="12" t="inlineStr">
        <is>
          <t>m.3243A&gt;G</t>
        </is>
      </c>
      <c r="B39" s="12" t="n">
        <v>7.5</v>
      </c>
      <c r="C39" s="12" t="inlineStr">
        <is>
          <t>cleavage/blastocyst-stage analyzed embryo</t>
        </is>
      </c>
      <c r="D39" s="12" t="inlineStr">
        <is>
          <t>blastomeres and/or whole embryo fractions</t>
        </is>
      </c>
      <c r="E39" s="12" t="inlineStr">
        <is>
          <t>Monnot 2011 Hum Mutat</t>
        </is>
      </c>
      <c r="F39" s="12" t="inlineStr">
        <is>
          <t>10.1002/humu.21417</t>
        </is>
      </c>
    </row>
    <row r="40">
      <c r="A40" s="10" t="inlineStr">
        <is>
          <t>m.3243A&gt;G</t>
        </is>
      </c>
      <c r="B40" s="10" t="n">
        <v>11.5</v>
      </c>
      <c r="C40" s="10" t="inlineStr">
        <is>
          <t>blastocyst/embryo sample</t>
        </is>
      </c>
      <c r="D40" s="10" t="inlineStr">
        <is>
          <t>TE biopsy</t>
        </is>
      </c>
      <c r="E40" s="10" t="inlineStr">
        <is>
          <t>Spath 2021 Fertil Steril</t>
        </is>
      </c>
      <c r="F40" s="10" t="inlineStr">
        <is>
          <t>10.1016/j.fertnstert.2021.01.026</t>
        </is>
      </c>
    </row>
    <row r="41">
      <c r="A41" s="12" t="inlineStr">
        <is>
          <t>m.3243A&gt;G</t>
        </is>
      </c>
      <c r="B41" s="12" t="n">
        <v>12</v>
      </c>
      <c r="C41" s="12" t="inlineStr">
        <is>
          <t>blastocyst</t>
        </is>
      </c>
      <c r="D41" s="12" t="inlineStr">
        <is>
          <t>TE biopsy / multiple TE+ICM biopsies</t>
        </is>
      </c>
      <c r="E41" s="12" t="inlineStr">
        <is>
          <t>Treff 2012 Fertil Steril</t>
        </is>
      </c>
      <c r="F41" s="12" t="inlineStr">
        <is>
          <t>10.1016/j.fertnstert.2012.07.1119</t>
        </is>
      </c>
    </row>
    <row r="42">
      <c r="A42" s="10" t="inlineStr">
        <is>
          <t>m.3243A&gt;G</t>
        </is>
      </c>
      <c r="B42" s="10" t="n">
        <v>13</v>
      </c>
      <c r="C42" s="10" t="inlineStr">
        <is>
          <t>cleavage/blastocyst-stage analyzed embryo</t>
        </is>
      </c>
      <c r="D42" s="10" t="inlineStr">
        <is>
          <t>blastomeres and/or whole embryo fractions</t>
        </is>
      </c>
      <c r="E42" s="10" t="inlineStr">
        <is>
          <t>Monnot 2011 Hum Mutat</t>
        </is>
      </c>
      <c r="F42" s="10" t="inlineStr">
        <is>
          <t>10.1002/humu.21417</t>
        </is>
      </c>
    </row>
    <row r="43">
      <c r="A43" s="12" t="inlineStr">
        <is>
          <t>m.3243A&gt;G</t>
        </is>
      </c>
      <c r="B43" s="12" t="n">
        <v>14</v>
      </c>
      <c r="C43" s="12" t="inlineStr">
        <is>
          <t>cleavage/blastocyst-stage analyzed embryo</t>
        </is>
      </c>
      <c r="D43" s="12" t="inlineStr">
        <is>
          <t>blastomeres and/or whole embryo fractions</t>
        </is>
      </c>
      <c r="E43" s="12" t="inlineStr">
        <is>
          <t>Monnot 2011 Hum Mutat</t>
        </is>
      </c>
      <c r="F43" s="12" t="inlineStr">
        <is>
          <t>10.1002/humu.21417</t>
        </is>
      </c>
    </row>
    <row r="44">
      <c r="A44" s="10" t="inlineStr">
        <is>
          <t>m.3243A&gt;G</t>
        </is>
      </c>
      <c r="B44" s="10" t="n">
        <v>14.5</v>
      </c>
      <c r="C44" s="10" t="inlineStr">
        <is>
          <t>cleavage/blastocyst-stage analyzed embryo</t>
        </is>
      </c>
      <c r="D44" s="10" t="inlineStr">
        <is>
          <t>blastomeres and/or whole embryo fractions</t>
        </is>
      </c>
      <c r="E44" s="10" t="inlineStr">
        <is>
          <t>Monnot 2011 Hum Mutat</t>
        </is>
      </c>
      <c r="F44" s="10" t="inlineStr">
        <is>
          <t>10.1002/humu.21417</t>
        </is>
      </c>
    </row>
    <row r="45">
      <c r="A45" s="12" t="inlineStr">
        <is>
          <t>m.3243A&gt;G</t>
        </is>
      </c>
      <c r="B45" s="12" t="n">
        <v>15</v>
      </c>
      <c r="C45" s="12" t="inlineStr">
        <is>
          <t>cleavage/blastocyst-stage analyzed embryo</t>
        </is>
      </c>
      <c r="D45" s="12" t="inlineStr">
        <is>
          <t>blastomeres and/or whole embryo fractions</t>
        </is>
      </c>
      <c r="E45" s="12" t="inlineStr">
        <is>
          <t>Monnot 2011 Hum Mutat</t>
        </is>
      </c>
      <c r="F45" s="12" t="inlineStr">
        <is>
          <t>10.1002/humu.21417</t>
        </is>
      </c>
    </row>
    <row r="46">
      <c r="A46" s="10" t="inlineStr">
        <is>
          <t>m.3243A&gt;G</t>
        </is>
      </c>
      <c r="B46" s="10" t="n">
        <v>16</v>
      </c>
      <c r="C46" s="10" t="inlineStr">
        <is>
          <t>cleavage/blastocyst-stage analyzed embryo</t>
        </is>
      </c>
      <c r="D46" s="10" t="inlineStr">
        <is>
          <t>blastomeres and/or whole embryo fractions</t>
        </is>
      </c>
      <c r="E46" s="10" t="inlineStr">
        <is>
          <t>Monnot 2011 Hum Mutat</t>
        </is>
      </c>
      <c r="F46" s="10" t="inlineStr">
        <is>
          <t>10.1002/humu.21417</t>
        </is>
      </c>
    </row>
    <row r="47">
      <c r="A47" s="12" t="inlineStr">
        <is>
          <t>m.3243A&gt;G</t>
        </is>
      </c>
      <c r="B47" s="12" t="n">
        <v>16.5</v>
      </c>
      <c r="C47" s="12" t="inlineStr">
        <is>
          <t>transferred embryo(s) linked to live birth</t>
        </is>
      </c>
      <c r="D47" s="12" t="inlineStr">
        <is>
          <t>test blastomere(s)</t>
        </is>
      </c>
      <c r="E47" s="12" t="inlineStr">
        <is>
          <t>Hyslop 2025 NEJM</t>
        </is>
      </c>
      <c r="F47" s="12" t="inlineStr">
        <is>
          <t>10.1056/NEJMoa2415539</t>
        </is>
      </c>
    </row>
    <row r="48">
      <c r="A48" s="10" t="inlineStr">
        <is>
          <t>m.3243A&gt;G</t>
        </is>
      </c>
      <c r="B48" s="10" t="n">
        <v>18</v>
      </c>
      <c r="C48" s="10" t="inlineStr">
        <is>
          <t>cleavage-stage embryo</t>
        </is>
      </c>
      <c r="D48" s="10" t="inlineStr">
        <is>
          <t>multiple blastomeres</t>
        </is>
      </c>
      <c r="E48" s="10" t="inlineStr">
        <is>
          <t>Monnot 2011 Hum Mutat</t>
        </is>
      </c>
      <c r="F48" s="10" t="inlineStr">
        <is>
          <t>10.1002/humu.21417</t>
        </is>
      </c>
    </row>
    <row r="49">
      <c r="A49" s="12" t="inlineStr">
        <is>
          <t>m.3243A&gt;G</t>
        </is>
      </c>
      <c r="B49" s="12" t="n">
        <v>23</v>
      </c>
      <c r="C49" s="12" t="inlineStr">
        <is>
          <t>cleavage-stage embryo</t>
        </is>
      </c>
      <c r="D49" s="12" t="inlineStr">
        <is>
          <t>multiple blastomeres</t>
        </is>
      </c>
      <c r="E49" s="12" t="inlineStr">
        <is>
          <t>Monnot 2011 Hum Mutat</t>
        </is>
      </c>
      <c r="F49" s="12" t="inlineStr">
        <is>
          <t>10.1002/humu.21417</t>
        </is>
      </c>
    </row>
    <row r="50">
      <c r="A50" s="10" t="inlineStr">
        <is>
          <t>m.3243A&gt;G</t>
        </is>
      </c>
      <c r="B50" s="10" t="n">
        <v>23</v>
      </c>
      <c r="C50" s="10" t="inlineStr">
        <is>
          <t>cleavage/blastocyst-stage analyzed embryo</t>
        </is>
      </c>
      <c r="D50" s="10" t="inlineStr">
        <is>
          <t>blastomeres and/or whole embryo fractions</t>
        </is>
      </c>
      <c r="E50" s="10" t="inlineStr">
        <is>
          <t>Monnot 2011 Hum Mutat</t>
        </is>
      </c>
      <c r="F50" s="10" t="inlineStr">
        <is>
          <t>10.1002/humu.21417</t>
        </is>
      </c>
    </row>
    <row r="51">
      <c r="A51" s="12" t="inlineStr">
        <is>
          <t>m.3243A&gt;G</t>
        </is>
      </c>
      <c r="B51" s="12" t="n">
        <v>23</v>
      </c>
      <c r="C51" s="12" t="inlineStr">
        <is>
          <t>cleavage/blastocyst-stage analyzed embryo</t>
        </is>
      </c>
      <c r="D51" s="12" t="inlineStr">
        <is>
          <t>blastomeres and/or whole embryo fractions</t>
        </is>
      </c>
      <c r="E51" s="12" t="inlineStr">
        <is>
          <t>Monnot 2011 Hum Mutat</t>
        </is>
      </c>
      <c r="F51" s="12" t="inlineStr">
        <is>
          <t>10.1002/humu.21417</t>
        </is>
      </c>
    </row>
    <row r="52">
      <c r="A52" s="10" t="inlineStr">
        <is>
          <t>m.3243A&gt;G</t>
        </is>
      </c>
      <c r="B52" s="10" t="n">
        <v>24</v>
      </c>
      <c r="C52" s="10" t="inlineStr">
        <is>
          <t>blastocyst</t>
        </is>
      </c>
      <c r="D52" s="10" t="inlineStr">
        <is>
          <t>TE biopsy / multiple TE+ICM biopsies</t>
        </is>
      </c>
      <c r="E52" s="10" t="inlineStr">
        <is>
          <t>Treff 2012 Fertil Steril</t>
        </is>
      </c>
      <c r="F52" s="10" t="inlineStr">
        <is>
          <t>10.1016/j.fertnstert.2012.07.1119</t>
        </is>
      </c>
    </row>
    <row r="53">
      <c r="A53" s="12" t="inlineStr">
        <is>
          <t>m.3243A&gt;G</t>
        </is>
      </c>
      <c r="B53" s="12" t="n">
        <v>24</v>
      </c>
      <c r="C53" s="12" t="inlineStr">
        <is>
          <t>cleavage stage</t>
        </is>
      </c>
      <c r="D53" s="12" t="inlineStr">
        <is>
          <t>multiple blastomeres / whole embryo</t>
        </is>
      </c>
      <c r="E53" s="12" t="inlineStr">
        <is>
          <t>Treff 2012 Fertil Steril</t>
        </is>
      </c>
      <c r="F53" s="12" t="inlineStr">
        <is>
          <t>10.1016/j.fertnstert.2012.07.1119</t>
        </is>
      </c>
    </row>
    <row r="54">
      <c r="A54" s="10" t="inlineStr">
        <is>
          <t>m.3243A&gt;G</t>
        </is>
      </c>
      <c r="B54" s="10" t="n">
        <v>25</v>
      </c>
      <c r="C54" s="10" t="inlineStr">
        <is>
          <t>cleavage stage</t>
        </is>
      </c>
      <c r="D54" s="10" t="inlineStr">
        <is>
          <t>multiple blastomeres / whole embryo</t>
        </is>
      </c>
      <c r="E54" s="10" t="inlineStr">
        <is>
          <t>Treff 2012 Fertil Steril</t>
        </is>
      </c>
      <c r="F54" s="10" t="inlineStr">
        <is>
          <t>10.1016/j.fertnstert.2012.07.1119</t>
        </is>
      </c>
    </row>
    <row r="55">
      <c r="A55" s="12" t="inlineStr">
        <is>
          <t>m.3243A&gt;G</t>
        </is>
      </c>
      <c r="B55" s="12" t="n">
        <v>28</v>
      </c>
      <c r="C55" s="12" t="inlineStr">
        <is>
          <t>cleavage/blastocyst-stage analyzed embryo</t>
        </is>
      </c>
      <c r="D55" s="12" t="inlineStr">
        <is>
          <t>blastomeres and/or whole embryo fractions</t>
        </is>
      </c>
      <c r="E55" s="12" t="inlineStr">
        <is>
          <t>Monnot 2011 Hum Mutat</t>
        </is>
      </c>
      <c r="F55" s="12" t="inlineStr">
        <is>
          <t>10.1002/humu.21417</t>
        </is>
      </c>
    </row>
    <row r="56">
      <c r="A56" s="10" t="inlineStr">
        <is>
          <t>m.3243A&gt;G</t>
        </is>
      </c>
      <c r="B56" s="10" t="n">
        <v>29.2</v>
      </c>
      <c r="C56" s="10" t="inlineStr">
        <is>
          <t>blastocyst/embryo sample</t>
        </is>
      </c>
      <c r="D56" s="10" t="inlineStr">
        <is>
          <t>TE biopsy</t>
        </is>
      </c>
      <c r="E56" s="10" t="inlineStr">
        <is>
          <t>Spath 2021 Fertil Steril</t>
        </is>
      </c>
      <c r="F56" s="10" t="inlineStr">
        <is>
          <t>10.1016/j.fertnstert.2021.01.026</t>
        </is>
      </c>
    </row>
    <row r="57">
      <c r="A57" s="12" t="inlineStr">
        <is>
          <t>m.3243A&gt;G</t>
        </is>
      </c>
      <c r="B57" s="12" t="n">
        <v>30</v>
      </c>
      <c r="C57" s="12" t="inlineStr">
        <is>
          <t>cleavage/blastocyst-stage analyzed embryo</t>
        </is>
      </c>
      <c r="D57" s="12" t="inlineStr">
        <is>
          <t>blastomeres and/or whole embryo fractions</t>
        </is>
      </c>
      <c r="E57" s="12" t="inlineStr">
        <is>
          <t>Monnot 2011 Hum Mutat</t>
        </is>
      </c>
      <c r="F57" s="12" t="inlineStr">
        <is>
          <t>10.1002/humu.21417</t>
        </is>
      </c>
    </row>
    <row r="58">
      <c r="A58" s="10" t="inlineStr">
        <is>
          <t>m.3243A&gt;G</t>
        </is>
      </c>
      <c r="B58" s="10" t="n">
        <v>36.3</v>
      </c>
      <c r="C58" s="10" t="inlineStr">
        <is>
          <t>blastocyst/embryo sample</t>
        </is>
      </c>
      <c r="D58" s="10" t="inlineStr">
        <is>
          <t>half embryo</t>
        </is>
      </c>
      <c r="E58" s="10" t="inlineStr">
        <is>
          <t>Spath 2021 Fertil Steril</t>
        </is>
      </c>
      <c r="F58" s="10" t="inlineStr">
        <is>
          <t>10.1016/j.fertnstert.2021.01.026</t>
        </is>
      </c>
    </row>
    <row r="59">
      <c r="A59" s="12" t="inlineStr">
        <is>
          <t>m.3243A&gt;G</t>
        </is>
      </c>
      <c r="B59" s="12" t="n">
        <v>37</v>
      </c>
      <c r="C59" s="12" t="inlineStr">
        <is>
          <t>cleavage/blastocyst-stage analyzed embryo</t>
        </is>
      </c>
      <c r="D59" s="12" t="inlineStr">
        <is>
          <t>blastomeres and/or whole embryo fractions</t>
        </is>
      </c>
      <c r="E59" s="12" t="inlineStr">
        <is>
          <t>Monnot 2011 Hum Mutat</t>
        </is>
      </c>
      <c r="F59" s="12" t="inlineStr">
        <is>
          <t>10.1002/humu.21417</t>
        </is>
      </c>
    </row>
    <row r="60">
      <c r="A60" s="10" t="inlineStr">
        <is>
          <t>m.3243A&gt;G</t>
        </is>
      </c>
      <c r="B60" s="10" t="n">
        <v>37</v>
      </c>
      <c r="C60" s="10" t="inlineStr">
        <is>
          <t>blastocyst/embryo sample</t>
        </is>
      </c>
      <c r="D60" s="10" t="inlineStr">
        <is>
          <t>half embryo</t>
        </is>
      </c>
      <c r="E60" s="10" t="inlineStr">
        <is>
          <t>Spath 2021 Fertil Steril</t>
        </is>
      </c>
      <c r="F60" s="10" t="inlineStr">
        <is>
          <t>10.1016/j.fertnstert.2021.01.026</t>
        </is>
      </c>
    </row>
    <row r="61">
      <c r="A61" s="12" t="inlineStr">
        <is>
          <t>m.3243A&gt;G</t>
        </is>
      </c>
      <c r="B61" s="12" t="n">
        <v>38</v>
      </c>
      <c r="C61" s="12" t="inlineStr">
        <is>
          <t>blastocyst/embryo sample</t>
        </is>
      </c>
      <c r="D61" s="12" t="inlineStr">
        <is>
          <t>half embryo</t>
        </is>
      </c>
      <c r="E61" s="12" t="inlineStr">
        <is>
          <t>Spath 2021 Fertil Steril</t>
        </is>
      </c>
      <c r="F61" s="12" t="inlineStr">
        <is>
          <t>10.1016/j.fertnstert.2021.01.026</t>
        </is>
      </c>
    </row>
    <row r="62">
      <c r="A62" s="10" t="inlineStr">
        <is>
          <t>m.3243A&gt;G</t>
        </is>
      </c>
      <c r="B62" s="10" t="n">
        <v>38</v>
      </c>
      <c r="C62" s="10" t="inlineStr">
        <is>
          <t>blastocyst</t>
        </is>
      </c>
      <c r="D62" s="10" t="inlineStr">
        <is>
          <t>TE biopsy / multiple TE+ICM biopsies</t>
        </is>
      </c>
      <c r="E62" s="10" t="inlineStr">
        <is>
          <t>Treff 2012 Fertil Steril</t>
        </is>
      </c>
      <c r="F62" s="10" t="inlineStr">
        <is>
          <t>10.1016/j.fertnstert.2012.07.1119</t>
        </is>
      </c>
    </row>
    <row r="63">
      <c r="A63" s="12" t="inlineStr">
        <is>
          <t>m.3243A&gt;G</t>
        </is>
      </c>
      <c r="B63" s="12" t="n">
        <v>42</v>
      </c>
      <c r="C63" s="12" t="inlineStr">
        <is>
          <t>cleavage/blastocyst-stage analyzed embryo</t>
        </is>
      </c>
      <c r="D63" s="12" t="inlineStr">
        <is>
          <t>blastomeres and/or whole embryo fractions</t>
        </is>
      </c>
      <c r="E63" s="12" t="inlineStr">
        <is>
          <t>Monnot 2011 Hum Mutat</t>
        </is>
      </c>
      <c r="F63" s="12" t="inlineStr">
        <is>
          <t>10.1002/humu.21417</t>
        </is>
      </c>
    </row>
    <row r="64">
      <c r="A64" s="10" t="inlineStr">
        <is>
          <t>m.3243A&gt;G</t>
        </is>
      </c>
      <c r="B64" s="10" t="n">
        <v>42</v>
      </c>
      <c r="C64" s="10" t="inlineStr">
        <is>
          <t>cleavage/blastocyst-stage analyzed embryo</t>
        </is>
      </c>
      <c r="D64" s="10" t="inlineStr">
        <is>
          <t>blastomeres and/or whole embryo fractions</t>
        </is>
      </c>
      <c r="E64" s="10" t="inlineStr">
        <is>
          <t>Monnot 2011 Hum Mutat</t>
        </is>
      </c>
      <c r="F64" s="10" t="inlineStr">
        <is>
          <t>10.1002/humu.21417</t>
        </is>
      </c>
    </row>
    <row r="65">
      <c r="A65" s="12" t="inlineStr">
        <is>
          <t>m.3243A&gt;G</t>
        </is>
      </c>
      <c r="B65" s="12" t="n">
        <v>43</v>
      </c>
      <c r="C65" s="12" t="inlineStr">
        <is>
          <t>cleavage/blastocyst-stage analyzed embryo</t>
        </is>
      </c>
      <c r="D65" s="12" t="inlineStr">
        <is>
          <t>blastomeres and/or whole embryo fractions</t>
        </is>
      </c>
      <c r="E65" s="12" t="inlineStr">
        <is>
          <t>Monnot 2011 Hum Mutat</t>
        </is>
      </c>
      <c r="F65" s="12" t="inlineStr">
        <is>
          <t>10.1002/humu.21417</t>
        </is>
      </c>
    </row>
    <row r="66">
      <c r="A66" s="10" t="inlineStr">
        <is>
          <t>m.3243A&gt;G</t>
        </is>
      </c>
      <c r="B66" s="10" t="n">
        <v>47</v>
      </c>
      <c r="C66" s="10" t="inlineStr">
        <is>
          <t>cleavage/blastocyst-stage analyzed embryo</t>
        </is>
      </c>
      <c r="D66" s="10" t="inlineStr">
        <is>
          <t>blastomeres and/or whole embryo fractions</t>
        </is>
      </c>
      <c r="E66" s="10" t="inlineStr">
        <is>
          <t>Monnot 2011 Hum Mutat</t>
        </is>
      </c>
      <c r="F66" s="10" t="inlineStr">
        <is>
          <t>10.1002/humu.21417</t>
        </is>
      </c>
    </row>
    <row r="67">
      <c r="A67" s="12" t="inlineStr">
        <is>
          <t>m.3243A&gt;G</t>
        </is>
      </c>
      <c r="B67" s="12" t="n">
        <v>48</v>
      </c>
      <c r="C67" s="12" t="inlineStr">
        <is>
          <t>cleavage/blastocyst-stage analyzed embryo</t>
        </is>
      </c>
      <c r="D67" s="12" t="inlineStr">
        <is>
          <t>blastomeres and/or whole embryo fractions</t>
        </is>
      </c>
      <c r="E67" s="12" t="inlineStr">
        <is>
          <t>Monnot 2011 Hum Mutat</t>
        </is>
      </c>
      <c r="F67" s="12" t="inlineStr">
        <is>
          <t>10.1002/humu.21417</t>
        </is>
      </c>
    </row>
    <row r="68">
      <c r="A68" s="10" t="inlineStr">
        <is>
          <t>m.3243A&gt;G</t>
        </is>
      </c>
      <c r="B68" s="10" t="n">
        <v>50</v>
      </c>
      <c r="C68" s="10" t="inlineStr">
        <is>
          <t>cleavage-stage embryo</t>
        </is>
      </c>
      <c r="D68" s="10" t="inlineStr">
        <is>
          <t>multiple blastomeres</t>
        </is>
      </c>
      <c r="E68" s="10" t="inlineStr">
        <is>
          <t>Monnot 2011 Hum Mutat</t>
        </is>
      </c>
      <c r="F68" s="10" t="inlineStr">
        <is>
          <t>10.1002/humu.21417</t>
        </is>
      </c>
    </row>
    <row r="69">
      <c r="A69" s="12" t="inlineStr">
        <is>
          <t>m.3243A&gt;G</t>
        </is>
      </c>
      <c r="B69" s="12" t="n">
        <v>50</v>
      </c>
      <c r="C69" s="12" t="inlineStr">
        <is>
          <t>cleavage/blastocyst-stage analyzed embryo</t>
        </is>
      </c>
      <c r="D69" s="12" t="inlineStr">
        <is>
          <t>blastomeres and/or whole embryo fractions</t>
        </is>
      </c>
      <c r="E69" s="12" t="inlineStr">
        <is>
          <t>Monnot 2011 Hum Mutat</t>
        </is>
      </c>
      <c r="F69" s="12" t="inlineStr">
        <is>
          <t>10.1002/humu.21417</t>
        </is>
      </c>
    </row>
    <row r="70">
      <c r="A70" s="10" t="inlineStr">
        <is>
          <t>m.3243A&gt;G</t>
        </is>
      </c>
      <c r="B70" s="10" t="n">
        <v>50</v>
      </c>
      <c r="C70" s="10" t="inlineStr">
        <is>
          <t>cleavage/blastocyst-stage analyzed embryo</t>
        </is>
      </c>
      <c r="D70" s="10" t="inlineStr">
        <is>
          <t>blastomeres and/or whole embryo fractions</t>
        </is>
      </c>
      <c r="E70" s="10" t="inlineStr">
        <is>
          <t>Monnot 2011 Hum Mutat</t>
        </is>
      </c>
      <c r="F70" s="10" t="inlineStr">
        <is>
          <t>10.1002/humu.21417</t>
        </is>
      </c>
    </row>
    <row r="71">
      <c r="A71" s="12" t="inlineStr">
        <is>
          <t>m.3243A&gt;G</t>
        </is>
      </c>
      <c r="B71" s="12" t="n">
        <v>50</v>
      </c>
      <c r="C71" s="12" t="inlineStr">
        <is>
          <t>cleavage/blastocyst-stage analyzed embryo</t>
        </is>
      </c>
      <c r="D71" s="12" t="inlineStr">
        <is>
          <t>blastomeres and/or whole embryo fractions</t>
        </is>
      </c>
      <c r="E71" s="12" t="inlineStr">
        <is>
          <t>Monnot 2011 Hum Mutat</t>
        </is>
      </c>
      <c r="F71" s="12" t="inlineStr">
        <is>
          <t>10.1002/humu.21417</t>
        </is>
      </c>
    </row>
    <row r="72">
      <c r="A72" s="10" t="inlineStr">
        <is>
          <t>m.3243A&gt;G</t>
        </is>
      </c>
      <c r="B72" s="10" t="n">
        <v>50</v>
      </c>
      <c r="C72" s="10" t="inlineStr">
        <is>
          <t>cleavage/blastocyst-stage analyzed embryo</t>
        </is>
      </c>
      <c r="D72" s="10" t="inlineStr">
        <is>
          <t>blastomeres and/or whole embryo fractions</t>
        </is>
      </c>
      <c r="E72" s="10" t="inlineStr">
        <is>
          <t>Monnot 2011 Hum Mutat</t>
        </is>
      </c>
      <c r="F72" s="10" t="inlineStr">
        <is>
          <t>10.1002/humu.21417</t>
        </is>
      </c>
    </row>
    <row r="73">
      <c r="A73" s="12" t="inlineStr">
        <is>
          <t>m.3243A&gt;G</t>
        </is>
      </c>
      <c r="B73" s="12" t="n">
        <v>52</v>
      </c>
      <c r="C73" s="12" t="inlineStr">
        <is>
          <t>cleavage stage</t>
        </is>
      </c>
      <c r="D73" s="12" t="inlineStr">
        <is>
          <t>multiple blastomeres / whole embryo</t>
        </is>
      </c>
      <c r="E73" s="12" t="inlineStr">
        <is>
          <t>Treff 2012 Fertil Steril</t>
        </is>
      </c>
      <c r="F73" s="12" t="inlineStr">
        <is>
          <t>10.1016/j.fertnstert.2012.07.1119</t>
        </is>
      </c>
    </row>
    <row r="74">
      <c r="A74" s="10" t="inlineStr">
        <is>
          <t>m.3243A&gt;G</t>
        </is>
      </c>
      <c r="B74" s="10" t="n">
        <v>55</v>
      </c>
      <c r="C74" s="10" t="inlineStr">
        <is>
          <t>cleavage/blastocyst-stage analyzed embryo</t>
        </is>
      </c>
      <c r="D74" s="10" t="inlineStr">
        <is>
          <t>blastomeres and/or whole embryo fractions</t>
        </is>
      </c>
      <c r="E74" s="10" t="inlineStr">
        <is>
          <t>Monnot 2011 Hum Mutat</t>
        </is>
      </c>
      <c r="F74" s="10" t="inlineStr">
        <is>
          <t>10.1002/humu.21417</t>
        </is>
      </c>
    </row>
    <row r="75">
      <c r="A75" s="12" t="inlineStr">
        <is>
          <t>m.3243A&gt;G</t>
        </is>
      </c>
      <c r="B75" s="12" t="n">
        <v>60</v>
      </c>
      <c r="C75" s="12" t="inlineStr">
        <is>
          <t>cleavage/blastocyst-stage analyzed embryo</t>
        </is>
      </c>
      <c r="D75" s="12" t="inlineStr">
        <is>
          <t>blastomeres and/or whole embryo fractions</t>
        </is>
      </c>
      <c r="E75" s="12" t="inlineStr">
        <is>
          <t>Monnot 2011 Hum Mutat</t>
        </is>
      </c>
      <c r="F75" s="12" t="inlineStr">
        <is>
          <t>10.1002/humu.21417</t>
        </is>
      </c>
    </row>
    <row r="76">
      <c r="A76" s="10" t="inlineStr">
        <is>
          <t>m.3243A&gt;G</t>
        </is>
      </c>
      <c r="B76" s="10" t="n">
        <v>61</v>
      </c>
      <c r="C76" s="10" t="inlineStr">
        <is>
          <t>morula</t>
        </is>
      </c>
      <c r="D76" s="10" t="inlineStr">
        <is>
          <t>whole embryo</t>
        </is>
      </c>
      <c r="E76" s="10" t="inlineStr">
        <is>
          <t>Treff 2012 Fertil Steril</t>
        </is>
      </c>
      <c r="F76" s="10" t="inlineStr">
        <is>
          <t>10.1016/j.fertnstert.2012.07.1119</t>
        </is>
      </c>
    </row>
    <row r="77">
      <c r="A77" s="12" t="inlineStr">
        <is>
          <t>m.3243A&gt;G</t>
        </is>
      </c>
      <c r="B77" s="12" t="n">
        <v>62</v>
      </c>
      <c r="C77" s="12" t="inlineStr">
        <is>
          <t>cleavage/blastocyst-stage analyzed embryo</t>
        </is>
      </c>
      <c r="D77" s="12" t="inlineStr">
        <is>
          <t>blastomeres and/or whole embryo fractions</t>
        </is>
      </c>
      <c r="E77" s="12" t="inlineStr">
        <is>
          <t>Monnot 2011 Hum Mutat</t>
        </is>
      </c>
      <c r="F77" s="12" t="inlineStr">
        <is>
          <t>10.1002/humu.21417</t>
        </is>
      </c>
    </row>
    <row r="78">
      <c r="A78" s="10" t="inlineStr">
        <is>
          <t>m.3243A&gt;G</t>
        </is>
      </c>
      <c r="B78" s="10" t="n">
        <v>63</v>
      </c>
      <c r="C78" s="10" t="inlineStr">
        <is>
          <t>cleavage/blastocyst-stage analyzed embryo</t>
        </is>
      </c>
      <c r="D78" s="10" t="inlineStr">
        <is>
          <t>blastomeres and/or whole embryo fractions</t>
        </is>
      </c>
      <c r="E78" s="10" t="inlineStr">
        <is>
          <t>Monnot 2011 Hum Mutat</t>
        </is>
      </c>
      <c r="F78" s="10" t="inlineStr">
        <is>
          <t>10.1002/humu.21417</t>
        </is>
      </c>
    </row>
    <row r="79">
      <c r="A79" s="12" t="inlineStr">
        <is>
          <t>m.3243A&gt;G</t>
        </is>
      </c>
      <c r="B79" s="12" t="n">
        <v>66</v>
      </c>
      <c r="C79" s="12" t="inlineStr">
        <is>
          <t>cleavage/blastocyst-stage analyzed embryo</t>
        </is>
      </c>
      <c r="D79" s="12" t="inlineStr">
        <is>
          <t>blastomeres and/or whole embryo fractions</t>
        </is>
      </c>
      <c r="E79" s="12" t="inlineStr">
        <is>
          <t>Monnot 2011 Hum Mutat</t>
        </is>
      </c>
      <c r="F79" s="12" t="inlineStr">
        <is>
          <t>10.1002/humu.21417</t>
        </is>
      </c>
    </row>
    <row r="80">
      <c r="A80" s="10" t="inlineStr">
        <is>
          <t>m.3243A&gt;G</t>
        </is>
      </c>
      <c r="B80" s="10" t="n">
        <v>71</v>
      </c>
      <c r="C80" s="10" t="inlineStr">
        <is>
          <t>cleavage stage</t>
        </is>
      </c>
      <c r="D80" s="10" t="inlineStr">
        <is>
          <t>multiple blastomeres / whole embryo</t>
        </is>
      </c>
      <c r="E80" s="10" t="inlineStr">
        <is>
          <t>Treff 2012 Fertil Steril</t>
        </is>
      </c>
      <c r="F80" s="10" t="inlineStr">
        <is>
          <t>10.1016/j.fertnstert.2012.07.1119</t>
        </is>
      </c>
    </row>
    <row r="81">
      <c r="A81" s="12" t="inlineStr">
        <is>
          <t>m.3243A&gt;G</t>
        </is>
      </c>
      <c r="B81" s="12" t="n">
        <v>74</v>
      </c>
      <c r="C81" s="12" t="inlineStr">
        <is>
          <t>cleavage/blastocyst-stage analyzed embryo</t>
        </is>
      </c>
      <c r="D81" s="12" t="inlineStr">
        <is>
          <t>blastomeres and/or whole embryo fractions</t>
        </is>
      </c>
      <c r="E81" s="12" t="inlineStr">
        <is>
          <t>Monnot 2011 Hum Mutat</t>
        </is>
      </c>
      <c r="F81" s="12" t="inlineStr">
        <is>
          <t>10.1002/humu.21417</t>
        </is>
      </c>
    </row>
    <row r="82">
      <c r="A82" s="10" t="inlineStr">
        <is>
          <t>m.3243A&gt;G</t>
        </is>
      </c>
      <c r="B82" s="10" t="n">
        <v>74</v>
      </c>
      <c r="C82" s="10" t="inlineStr">
        <is>
          <t>blastocyst</t>
        </is>
      </c>
      <c r="D82" s="10" t="inlineStr">
        <is>
          <t>TE biopsy / multiple TE+ICM biopsies</t>
        </is>
      </c>
      <c r="E82" s="10" t="inlineStr">
        <is>
          <t>Treff 2012 Fertil Steril</t>
        </is>
      </c>
      <c r="F82" s="10" t="inlineStr">
        <is>
          <t>10.1016/j.fertnstert.2012.07.1119</t>
        </is>
      </c>
    </row>
    <row r="83">
      <c r="A83" s="12" t="inlineStr">
        <is>
          <t>m.3243A&gt;G</t>
        </is>
      </c>
      <c r="B83" s="12" t="n">
        <v>74.5</v>
      </c>
      <c r="C83" s="12" t="inlineStr">
        <is>
          <t>cleavage/blastocyst-stage analyzed embryo</t>
        </is>
      </c>
      <c r="D83" s="12" t="inlineStr">
        <is>
          <t>blastomeres and/or whole embryo fractions</t>
        </is>
      </c>
      <c r="E83" s="12" t="inlineStr">
        <is>
          <t>Monnot 2011 Hum Mutat</t>
        </is>
      </c>
      <c r="F83" s="12" t="inlineStr">
        <is>
          <t>10.1002/humu.21417</t>
        </is>
      </c>
    </row>
    <row r="84">
      <c r="A84" s="10" t="inlineStr">
        <is>
          <t>m.3243A&gt;G</t>
        </is>
      </c>
      <c r="B84" s="10" t="n">
        <v>75</v>
      </c>
      <c r="C84" s="10" t="inlineStr">
        <is>
          <t>cleavage/blastocyst-stage analyzed embryo</t>
        </is>
      </c>
      <c r="D84" s="10" t="inlineStr">
        <is>
          <t>blastomeres and/or whole embryo fractions</t>
        </is>
      </c>
      <c r="E84" s="10" t="inlineStr">
        <is>
          <t>Monnot 2011 Hum Mutat</t>
        </is>
      </c>
      <c r="F84" s="10" t="inlineStr">
        <is>
          <t>10.1002/humu.21417</t>
        </is>
      </c>
    </row>
    <row r="85">
      <c r="A85" s="12" t="inlineStr">
        <is>
          <t>m.3243A&gt;G</t>
        </is>
      </c>
      <c r="B85" s="12" t="n">
        <v>81</v>
      </c>
      <c r="C85" s="12" t="inlineStr">
        <is>
          <t>blastocyst</t>
        </is>
      </c>
      <c r="D85" s="12" t="inlineStr">
        <is>
          <t>TE biopsy / multiple TE+ICM biopsies</t>
        </is>
      </c>
      <c r="E85" s="12" t="inlineStr">
        <is>
          <t>Treff 2012 Fertil Steril</t>
        </is>
      </c>
      <c r="F85" s="12" t="inlineStr">
        <is>
          <t>10.1016/j.fertnstert.2012.07.1119</t>
        </is>
      </c>
    </row>
    <row r="86">
      <c r="A86" s="10" t="inlineStr">
        <is>
          <t>m.3243A&gt;G</t>
        </is>
      </c>
      <c r="B86" s="10" t="n">
        <v>82</v>
      </c>
      <c r="C86" s="10" t="inlineStr">
        <is>
          <t>blastocyst</t>
        </is>
      </c>
      <c r="D86" s="10" t="inlineStr">
        <is>
          <t>TE biopsy / multiple TE+ICM biopsies</t>
        </is>
      </c>
      <c r="E86" s="10" t="inlineStr">
        <is>
          <t>Treff 2012 Fertil Steril</t>
        </is>
      </c>
      <c r="F86" s="10" t="inlineStr">
        <is>
          <t>10.1016/j.fertnstert.2012.07.1119</t>
        </is>
      </c>
    </row>
    <row r="87">
      <c r="A87" s="12" t="inlineStr">
        <is>
          <t>m.3243A&gt;G</t>
        </is>
      </c>
      <c r="B87" s="12" t="n">
        <v>86</v>
      </c>
      <c r="C87" s="12" t="inlineStr">
        <is>
          <t>cleavage stage</t>
        </is>
      </c>
      <c r="D87" s="12" t="inlineStr">
        <is>
          <t>multiple blastomeres / whole embryo</t>
        </is>
      </c>
      <c r="E87" s="12" t="inlineStr">
        <is>
          <t>Treff 2012 Fertil Steril</t>
        </is>
      </c>
      <c r="F87" s="12" t="inlineStr">
        <is>
          <t>10.1016/j.fertnstert.2012.07.1119</t>
        </is>
      </c>
    </row>
    <row r="88">
      <c r="A88" s="10" t="inlineStr">
        <is>
          <t>m.3243A&gt;G</t>
        </is>
      </c>
      <c r="B88" s="10" t="n">
        <v>89</v>
      </c>
      <c r="C88" s="10" t="inlineStr">
        <is>
          <t>blastocyst</t>
        </is>
      </c>
      <c r="D88" s="10" t="inlineStr">
        <is>
          <t>TE biopsy / multiple TE+ICM biopsies</t>
        </is>
      </c>
      <c r="E88" s="10" t="inlineStr">
        <is>
          <t>Treff 2012 Fertil Steril</t>
        </is>
      </c>
      <c r="F88" s="10" t="inlineStr">
        <is>
          <t>10.1016/j.fertnstert.2012.07.1119</t>
        </is>
      </c>
    </row>
    <row r="89">
      <c r="A89" s="12" t="inlineStr">
        <is>
          <t>m.3243A&gt;G</t>
        </is>
      </c>
      <c r="B89" s="12" t="n">
        <v>90</v>
      </c>
      <c r="C89" s="12" t="inlineStr">
        <is>
          <t>blastocyst</t>
        </is>
      </c>
      <c r="D89" s="12" t="inlineStr">
        <is>
          <t>TE biopsy / multiple TE+ICM biopsies</t>
        </is>
      </c>
      <c r="E89" s="12" t="inlineStr">
        <is>
          <t>Treff 2012 Fertil Steril</t>
        </is>
      </c>
      <c r="F89" s="12" t="inlineStr">
        <is>
          <t>10.1016/j.fertnstert.2012.07.1119</t>
        </is>
      </c>
    </row>
    <row r="90">
      <c r="A90" s="10" t="inlineStr">
        <is>
          <t>m.3243A&gt;G</t>
        </is>
      </c>
      <c r="B90" s="10" t="n">
        <v>91</v>
      </c>
      <c r="C90" s="10" t="inlineStr">
        <is>
          <t>morula</t>
        </is>
      </c>
      <c r="D90" s="10" t="inlineStr">
        <is>
          <t>whole embryo</t>
        </is>
      </c>
      <c r="E90" s="10" t="inlineStr">
        <is>
          <t>Treff 2012 Fertil Steril</t>
        </is>
      </c>
      <c r="F90" s="10" t="inlineStr">
        <is>
          <t>10.1016/j.fertnstert.2012.07.1119</t>
        </is>
      </c>
    </row>
    <row r="91">
      <c r="A91" s="12" t="inlineStr">
        <is>
          <t>m.3697G&gt;A</t>
        </is>
      </c>
      <c r="B91" s="12" t="n">
        <v>15.2</v>
      </c>
      <c r="C91" s="12" t="inlineStr">
        <is>
          <t>embryo sample</t>
        </is>
      </c>
      <c r="D91" s="12" t="inlineStr">
        <is>
          <t>TE/whole embryo sample</t>
        </is>
      </c>
      <c r="E91" s="12" t="inlineStr">
        <is>
          <t>Ji 2021 JARG</t>
        </is>
      </c>
      <c r="F91" s="12" t="inlineStr">
        <is>
          <t>10.1007/s10815-021-02354-3</t>
        </is>
      </c>
    </row>
    <row r="92">
      <c r="A92" s="10" t="inlineStr">
        <is>
          <t>m.3697G&gt;A</t>
        </is>
      </c>
      <c r="B92" s="10" t="n">
        <v>23.5</v>
      </c>
      <c r="C92" s="10" t="inlineStr">
        <is>
          <t>arrested embryo</t>
        </is>
      </c>
      <c r="D92" s="10" t="inlineStr">
        <is>
          <t>whole/biopsy sample</t>
        </is>
      </c>
      <c r="E92" s="10" t="inlineStr">
        <is>
          <t>Ji 2021 JARG</t>
        </is>
      </c>
      <c r="F92" s="10" t="inlineStr">
        <is>
          <t>10.1007/s10815-021-02354-3</t>
        </is>
      </c>
    </row>
    <row r="93">
      <c r="A93" s="12" t="inlineStr">
        <is>
          <t>m.3697G&gt;A</t>
        </is>
      </c>
      <c r="B93" s="12" t="n">
        <v>29.4</v>
      </c>
      <c r="C93" s="12" t="inlineStr">
        <is>
          <t>Day5/6 4BC</t>
        </is>
      </c>
      <c r="D93" s="12" t="inlineStr">
        <is>
          <t>TE biopsy</t>
        </is>
      </c>
      <c r="E93" s="12" t="inlineStr">
        <is>
          <t>Ji 2021 JARG</t>
        </is>
      </c>
      <c r="F93" s="12" t="inlineStr">
        <is>
          <t>10.1007/s10815-021-02354-3</t>
        </is>
      </c>
    </row>
    <row r="94">
      <c r="A94" s="10" t="inlineStr">
        <is>
          <t>m.3697G&gt;A</t>
        </is>
      </c>
      <c r="B94" s="10" t="n">
        <v>31.7</v>
      </c>
      <c r="C94" s="10" t="inlineStr">
        <is>
          <t>Day5 4AB</t>
        </is>
      </c>
      <c r="D94" s="10" t="inlineStr">
        <is>
          <t>TE biopsy</t>
        </is>
      </c>
      <c r="E94" s="10" t="inlineStr">
        <is>
          <t>Ji 2021 JARG</t>
        </is>
      </c>
      <c r="F94" s="10" t="inlineStr">
        <is>
          <t>10.1007/s10815-021-02354-3</t>
        </is>
      </c>
    </row>
    <row r="95">
      <c r="A95" s="12" t="inlineStr">
        <is>
          <t>m.3697G&gt;A</t>
        </is>
      </c>
      <c r="B95" s="12" t="n">
        <v>34.3</v>
      </c>
      <c r="C95" s="12" t="inlineStr">
        <is>
          <t>embryo sample</t>
        </is>
      </c>
      <c r="D95" s="12" t="inlineStr">
        <is>
          <t>TE/whole embryo sample</t>
        </is>
      </c>
      <c r="E95" s="12" t="inlineStr">
        <is>
          <t>Ji 2021 JARG</t>
        </is>
      </c>
      <c r="F95" s="12" t="inlineStr">
        <is>
          <t>10.1007/s10815-021-02354-3</t>
        </is>
      </c>
    </row>
    <row r="96">
      <c r="A96" s="10" t="inlineStr">
        <is>
          <t>m.3697G&gt;A</t>
        </is>
      </c>
      <c r="B96" s="10" t="n">
        <v>36.48</v>
      </c>
      <c r="C96" s="10" t="inlineStr">
        <is>
          <t>1PN/arrested; 6 blastomeres</t>
        </is>
      </c>
      <c r="D96" s="10" t="inlineStr">
        <is>
          <t>six blastomeres</t>
        </is>
      </c>
      <c r="E96" s="10" t="inlineStr">
        <is>
          <t>Ji 2021 JARG</t>
        </is>
      </c>
      <c r="F96" s="10" t="inlineStr">
        <is>
          <t>10.1007/s10815-021-02354-3</t>
        </is>
      </c>
    </row>
    <row r="97">
      <c r="A97" s="12" t="inlineStr">
        <is>
          <t>m.3697G&gt;A</t>
        </is>
      </c>
      <c r="B97" s="12" t="n">
        <v>43.9</v>
      </c>
      <c r="C97" s="12" t="inlineStr">
        <is>
          <t>degenerated embryo</t>
        </is>
      </c>
      <c r="D97" s="12" t="inlineStr">
        <is>
          <t>sample</t>
        </is>
      </c>
      <c r="E97" s="12" t="inlineStr">
        <is>
          <t>Ji 2021 JARG</t>
        </is>
      </c>
      <c r="F97" s="12" t="inlineStr">
        <is>
          <t>10.1007/s10815-021-02354-3</t>
        </is>
      </c>
    </row>
    <row r="98">
      <c r="A98" s="10" t="inlineStr">
        <is>
          <t>m.3697G&gt;A</t>
        </is>
      </c>
      <c r="B98" s="10" t="n">
        <v>46.7</v>
      </c>
      <c r="C98" s="10" t="inlineStr">
        <is>
          <t>embryo sample</t>
        </is>
      </c>
      <c r="D98" s="10" t="inlineStr">
        <is>
          <t>TE/whole embryo sample</t>
        </is>
      </c>
      <c r="E98" s="10" t="inlineStr">
        <is>
          <t>Ji 2021 JARG</t>
        </is>
      </c>
      <c r="F98" s="10" t="inlineStr">
        <is>
          <t>10.1007/s10815-021-02354-3</t>
        </is>
      </c>
    </row>
    <row r="99">
      <c r="A99" s="12" t="inlineStr">
        <is>
          <t>m.3697G&gt;A</t>
        </is>
      </c>
      <c r="B99" s="12" t="n">
        <v>47.3</v>
      </c>
      <c r="C99" s="12" t="inlineStr">
        <is>
          <t>embryo sample</t>
        </is>
      </c>
      <c r="D99" s="12" t="inlineStr">
        <is>
          <t>TE/whole embryo sample</t>
        </is>
      </c>
      <c r="E99" s="12" t="inlineStr">
        <is>
          <t>Ji 2021 JARG</t>
        </is>
      </c>
      <c r="F99" s="12" t="inlineStr">
        <is>
          <t>10.1007/s10815-021-02354-3</t>
        </is>
      </c>
    </row>
    <row r="100">
      <c r="A100" s="10" t="inlineStr">
        <is>
          <t>m.3697G&gt;A</t>
        </is>
      </c>
      <c r="B100" s="10" t="n">
        <v>53.9</v>
      </c>
      <c r="C100" s="10" t="inlineStr">
        <is>
          <t>Day5 5BB</t>
        </is>
      </c>
      <c r="D100" s="10" t="inlineStr">
        <is>
          <t>TE biopsy</t>
        </is>
      </c>
      <c r="E100" s="10" t="inlineStr">
        <is>
          <t>Ji 2021 JARG</t>
        </is>
      </c>
      <c r="F100" s="10" t="inlineStr">
        <is>
          <t>10.1007/s10815-021-02354-3</t>
        </is>
      </c>
    </row>
    <row r="101">
      <c r="A101" s="12" t="inlineStr">
        <is>
          <t>m.3697G&gt;A</t>
        </is>
      </c>
      <c r="B101" s="12" t="n">
        <v>58.9</v>
      </c>
      <c r="C101" s="12" t="inlineStr">
        <is>
          <t>arrested embryo</t>
        </is>
      </c>
      <c r="D101" s="12" t="inlineStr">
        <is>
          <t>whole/biopsy sample</t>
        </is>
      </c>
      <c r="E101" s="12" t="inlineStr">
        <is>
          <t>Ji 2021 JARG</t>
        </is>
      </c>
      <c r="F101" s="12" t="inlineStr">
        <is>
          <t>10.1007/s10815-021-02354-3</t>
        </is>
      </c>
    </row>
    <row r="102">
      <c r="A102" s="10" t="inlineStr">
        <is>
          <t>m.3697G&gt;A</t>
        </is>
      </c>
      <c r="B102" s="10" t="n">
        <v>67</v>
      </c>
      <c r="C102" s="10" t="inlineStr">
        <is>
          <t>Day5 5BB</t>
        </is>
      </c>
      <c r="D102" s="10" t="inlineStr">
        <is>
          <t>TE biopsy</t>
        </is>
      </c>
      <c r="E102" s="10" t="inlineStr">
        <is>
          <t>Ji 2021 JARG</t>
        </is>
      </c>
      <c r="F102" s="10" t="inlineStr">
        <is>
          <t>10.1007/s10815-021-02354-3</t>
        </is>
      </c>
    </row>
    <row r="103">
      <c r="A103" s="12" t="inlineStr">
        <is>
          <t>m.3697G&gt;A</t>
        </is>
      </c>
      <c r="B103" s="12" t="n">
        <v>70.90000000000001</v>
      </c>
      <c r="C103" s="12" t="inlineStr">
        <is>
          <t>Day5 4BB</t>
        </is>
      </c>
      <c r="D103" s="12" t="inlineStr">
        <is>
          <t>TE biopsy</t>
        </is>
      </c>
      <c r="E103" s="12" t="inlineStr">
        <is>
          <t>Ji 2021 JARG</t>
        </is>
      </c>
      <c r="F103" s="12" t="inlineStr">
        <is>
          <t>10.1007/s10815-021-02354-3</t>
        </is>
      </c>
    </row>
    <row r="104">
      <c r="A104" s="10" t="inlineStr">
        <is>
          <t>m.3697G&gt;A</t>
        </is>
      </c>
      <c r="B104" s="10" t="n">
        <v>85.3</v>
      </c>
      <c r="C104" s="10" t="inlineStr">
        <is>
          <t>embryo sample</t>
        </is>
      </c>
      <c r="D104" s="10" t="inlineStr">
        <is>
          <t>TE/whole embryo sample</t>
        </is>
      </c>
      <c r="E104" s="10" t="inlineStr">
        <is>
          <t>Ji 2021 JARG</t>
        </is>
      </c>
      <c r="F104" s="10" t="inlineStr">
        <is>
          <t>10.1007/s10815-021-02354-3</t>
        </is>
      </c>
    </row>
    <row r="105">
      <c r="A105" s="12" t="inlineStr">
        <is>
          <t>m.3697G&gt;A</t>
        </is>
      </c>
      <c r="B105" s="12" t="n">
        <v>98.7</v>
      </c>
      <c r="C105" s="12" t="inlineStr">
        <is>
          <t>Day5 4CB</t>
        </is>
      </c>
      <c r="D105" s="12" t="inlineStr">
        <is>
          <t>TE biopsy</t>
        </is>
      </c>
      <c r="E105" s="12" t="inlineStr">
        <is>
          <t>Ji 2021 JARG</t>
        </is>
      </c>
      <c r="F105" s="12" t="inlineStr">
        <is>
          <t>10.1007/s10815-021-02354-3</t>
        </is>
      </c>
    </row>
    <row r="106">
      <c r="A106" s="10" t="inlineStr">
        <is>
          <t>m.3697G&gt;A</t>
        </is>
      </c>
      <c r="B106" s="10" t="n">
        <v>99</v>
      </c>
      <c r="C106" s="10" t="inlineStr">
        <is>
          <t>Day5 4BB</t>
        </is>
      </c>
      <c r="D106" s="10" t="inlineStr">
        <is>
          <t>TE biopsy</t>
        </is>
      </c>
      <c r="E106" s="10" t="inlineStr">
        <is>
          <t>Ji 2021 JARG</t>
        </is>
      </c>
      <c r="F106" s="10" t="inlineStr">
        <is>
          <t>10.1007/s10815-021-02354-3</t>
        </is>
      </c>
    </row>
    <row r="107">
      <c r="A107" s="12" t="inlineStr">
        <is>
          <t>m.3697G&gt;A</t>
        </is>
      </c>
      <c r="B107" s="12" t="n">
        <v>99.3</v>
      </c>
      <c r="C107" s="12" t="inlineStr">
        <is>
          <t>arrested embryo</t>
        </is>
      </c>
      <c r="D107" s="12" t="inlineStr">
        <is>
          <t>whole/biopsy sample</t>
        </is>
      </c>
      <c r="E107" s="12" t="inlineStr">
        <is>
          <t>Ji 2021 JARG</t>
        </is>
      </c>
      <c r="F107" s="12" t="inlineStr">
        <is>
          <t>10.1007/s10815-021-02354-3</t>
        </is>
      </c>
    </row>
    <row r="108">
      <c r="A108" s="10" t="inlineStr">
        <is>
          <t>m.3697G&gt;A</t>
        </is>
      </c>
      <c r="B108" s="10" t="n">
        <v>99.40000000000001</v>
      </c>
      <c r="C108" s="10" t="inlineStr">
        <is>
          <t>Day5/6 4BB</t>
        </is>
      </c>
      <c r="D108" s="10" t="inlineStr">
        <is>
          <t>TE biopsy</t>
        </is>
      </c>
      <c r="E108" s="10" t="inlineStr">
        <is>
          <t>Ji 2021 JARG</t>
        </is>
      </c>
      <c r="F108" s="10" t="inlineStr">
        <is>
          <t>10.1007/s10815-021-02354-3</t>
        </is>
      </c>
    </row>
    <row r="109">
      <c r="A109" s="12" t="inlineStr">
        <is>
          <t>m.3697G&gt;A</t>
        </is>
      </c>
      <c r="B109" s="12" t="n">
        <v>99.7</v>
      </c>
      <c r="C109" s="12" t="inlineStr">
        <is>
          <t>Day5/6 4BC</t>
        </is>
      </c>
      <c r="D109" s="12" t="inlineStr">
        <is>
          <t>TE biopsy</t>
        </is>
      </c>
      <c r="E109" s="12" t="inlineStr">
        <is>
          <t>Ji 2021 JARG</t>
        </is>
      </c>
      <c r="F109" s="12" t="inlineStr">
        <is>
          <t>10.1007/s10815-021-02354-3</t>
        </is>
      </c>
    </row>
    <row r="110">
      <c r="A110" s="10" t="inlineStr">
        <is>
          <t>m.3697G&gt;A</t>
        </is>
      </c>
      <c r="B110" s="10" t="n">
        <v>100</v>
      </c>
      <c r="C110" s="10" t="inlineStr">
        <is>
          <t>embryo sample</t>
        </is>
      </c>
      <c r="D110" s="10" t="inlineStr">
        <is>
          <t>TE/whole embryo sample</t>
        </is>
      </c>
      <c r="E110" s="10" t="inlineStr">
        <is>
          <t>Ji 2021 JARG</t>
        </is>
      </c>
      <c r="F110" s="10" t="inlineStr">
        <is>
          <t>10.1007/s10815-021-02354-3</t>
        </is>
      </c>
    </row>
    <row r="111">
      <c r="A111" s="12" t="inlineStr">
        <is>
          <t>m.3697G&gt;A</t>
        </is>
      </c>
      <c r="B111" s="12" t="n">
        <v>100</v>
      </c>
      <c r="C111" s="12" t="inlineStr">
        <is>
          <t>10-cell embryo; 6 blastomeres</t>
        </is>
      </c>
      <c r="D111" s="12" t="inlineStr">
        <is>
          <t>six blastomeres</t>
        </is>
      </c>
      <c r="E111" s="12" t="inlineStr">
        <is>
          <t>Ji 2021 JARG</t>
        </is>
      </c>
      <c r="F111" s="12" t="inlineStr">
        <is>
          <t>10.1007/s10815-021-02354-3</t>
        </is>
      </c>
    </row>
    <row r="112">
      <c r="A112" s="10" t="inlineStr">
        <is>
          <t>m.14487T&gt;C</t>
        </is>
      </c>
      <c r="B112" s="10" t="n">
        <v>5.75</v>
      </c>
      <c r="C112" s="10" t="inlineStr">
        <is>
          <t>Day 3 cleavage embryo, 2PN</t>
        </is>
      </c>
      <c r="D112" s="10" t="inlineStr">
        <is>
          <t>single blastomeres, diagnostic analysis</t>
        </is>
      </c>
      <c r="E112" s="10" t="inlineStr">
        <is>
          <t>Sallevelt 2017 Hum Reprod</t>
        </is>
      </c>
      <c r="F112" s="10" t="inlineStr">
        <is>
          <t>10.1093/humrep/dew356</t>
        </is>
      </c>
    </row>
    <row r="113">
      <c r="A113" s="12" t="inlineStr">
        <is>
          <t>m.14487T&gt;C</t>
        </is>
      </c>
      <c r="B113" s="12" t="n">
        <v>8</v>
      </c>
      <c r="C113" s="12" t="inlineStr">
        <is>
          <t>Day 3 cleavage embryo, 3PN</t>
        </is>
      </c>
      <c r="D113" s="12" t="inlineStr">
        <is>
          <t>multiple blastomeres, reanalysis</t>
        </is>
      </c>
      <c r="E113" s="12" t="inlineStr">
        <is>
          <t>Sallevelt 2017 Hum Reprod</t>
        </is>
      </c>
      <c r="F113" s="12" t="inlineStr">
        <is>
          <t>10.1093/humrep/dew356</t>
        </is>
      </c>
    </row>
    <row r="114">
      <c r="A114" s="10" t="inlineStr">
        <is>
          <t>m.14487T&gt;C</t>
        </is>
      </c>
      <c r="B114" s="10" t="n">
        <v>11.4</v>
      </c>
      <c r="C114" s="10" t="inlineStr">
        <is>
          <t>Day 5/6 blastocyst</t>
        </is>
      </c>
      <c r="D114" s="10" t="inlineStr">
        <is>
          <t>TE biopsy; later TE/ICM fractions for donated embryos</t>
        </is>
      </c>
      <c r="E114" s="10" t="inlineStr">
        <is>
          <t>Tofilo et al., 2026, Journal of Assisted Reproduction and Genetics, in press</t>
        </is>
      </c>
      <c r="F114" s="10" t="n"/>
    </row>
    <row r="115">
      <c r="A115" s="12" t="inlineStr">
        <is>
          <t>m.14487T&gt;C</t>
        </is>
      </c>
      <c r="B115" s="12" t="n">
        <v>12</v>
      </c>
      <c r="C115" s="12" t="inlineStr">
        <is>
          <t>Day 5/6 blastocyst</t>
        </is>
      </c>
      <c r="D115" s="12" t="inlineStr">
        <is>
          <t>TE biopsy; later TE/ICM fractions for donated embryos</t>
        </is>
      </c>
      <c r="E115" s="12" t="inlineStr">
        <is>
          <t>Tofilo et al., 2026, Journal of Assisted Reproduction and Genetics, in press</t>
        </is>
      </c>
      <c r="F115" s="12" t="n"/>
    </row>
    <row r="116">
      <c r="A116" s="10" t="inlineStr">
        <is>
          <t>m.14487T&gt;C</t>
        </is>
      </c>
      <c r="B116" s="10" t="n">
        <v>12.25</v>
      </c>
      <c r="C116" s="10" t="inlineStr">
        <is>
          <t>Day 3 cleavage embryo, 2PN</t>
        </is>
      </c>
      <c r="D116" s="10" t="inlineStr">
        <is>
          <t>single blastomeres, diagnostic analysis</t>
        </is>
      </c>
      <c r="E116" s="10" t="inlineStr">
        <is>
          <t>Sallevelt 2017 Hum Reprod</t>
        </is>
      </c>
      <c r="F116" s="10" t="inlineStr">
        <is>
          <t>10.1093/humrep/dew356</t>
        </is>
      </c>
    </row>
    <row r="117">
      <c r="A117" s="12" t="inlineStr">
        <is>
          <t>m.14487T&gt;C</t>
        </is>
      </c>
      <c r="B117" s="12" t="n">
        <v>13.5</v>
      </c>
      <c r="C117" s="12" t="inlineStr">
        <is>
          <t>Day 5/6 blastocyst</t>
        </is>
      </c>
      <c r="D117" s="12" t="inlineStr">
        <is>
          <t>TE biopsy; later TE/ICM fractions for donated embryos</t>
        </is>
      </c>
      <c r="E117" s="12" t="inlineStr">
        <is>
          <t>Tofilo et al., 2026, Journal of Assisted Reproduction and Genetics, in press</t>
        </is>
      </c>
      <c r="F117" s="12" t="n"/>
    </row>
    <row r="118">
      <c r="A118" s="10" t="inlineStr">
        <is>
          <t>m.14487T&gt;C</t>
        </is>
      </c>
      <c r="B118" s="10" t="n">
        <v>21.1</v>
      </c>
      <c r="C118" s="10" t="inlineStr">
        <is>
          <t>Day 3 cleavage embryo, 2PN</t>
        </is>
      </c>
      <c r="D118" s="10" t="inlineStr">
        <is>
          <t>single blastomeres, diagnostic analysis</t>
        </is>
      </c>
      <c r="E118" s="10" t="inlineStr">
        <is>
          <t>Sallevelt 2017 Hum Reprod</t>
        </is>
      </c>
      <c r="F118" s="10" t="inlineStr">
        <is>
          <t>10.1093/humrep/dew356</t>
        </is>
      </c>
    </row>
    <row r="119">
      <c r="A119" s="12" t="inlineStr">
        <is>
          <t>m.14487T&gt;C</t>
        </is>
      </c>
      <c r="B119" s="12" t="n">
        <v>21.4</v>
      </c>
      <c r="C119" s="12" t="inlineStr">
        <is>
          <t>Day 3 cleavage embryo, 2PN</t>
        </is>
      </c>
      <c r="D119" s="12" t="inlineStr">
        <is>
          <t>single blastomeres, diagnostic analysis</t>
        </is>
      </c>
      <c r="E119" s="12" t="inlineStr">
        <is>
          <t>Sallevelt 2017 Hum Reprod</t>
        </is>
      </c>
      <c r="F119" s="12" t="inlineStr">
        <is>
          <t>10.1093/humrep/dew356</t>
        </is>
      </c>
    </row>
    <row r="120">
      <c r="A120" s="10" t="inlineStr">
        <is>
          <t>m.14487T&gt;C</t>
        </is>
      </c>
      <c r="B120" s="10" t="n">
        <v>43.6</v>
      </c>
      <c r="C120" s="10" t="inlineStr">
        <is>
          <t>Day 3 cleavage embryo, 3PN</t>
        </is>
      </c>
      <c r="D120" s="10" t="inlineStr">
        <is>
          <t>multiple blastomeres, reanalysis</t>
        </is>
      </c>
      <c r="E120" s="10" t="inlineStr">
        <is>
          <t>Sallevelt 2017 Hum Reprod</t>
        </is>
      </c>
      <c r="F120" s="10" t="inlineStr">
        <is>
          <t>10.1093/humrep/dew356</t>
        </is>
      </c>
    </row>
    <row r="121">
      <c r="A121" s="12" t="inlineStr">
        <is>
          <t>m.14487T&gt;C</t>
        </is>
      </c>
      <c r="B121" s="12" t="n">
        <v>51.3</v>
      </c>
      <c r="C121" s="12" t="inlineStr">
        <is>
          <t>Day 3 cleavage embryo, 2PN</t>
        </is>
      </c>
      <c r="D121" s="12" t="inlineStr">
        <is>
          <t>single blastomeres, diagnostic analysis</t>
        </is>
      </c>
      <c r="E121" s="12" t="inlineStr">
        <is>
          <t>Sallevelt 2017 Hum Reprod</t>
        </is>
      </c>
      <c r="F121" s="12" t="inlineStr">
        <is>
          <t>10.1093/humrep/dew356</t>
        </is>
      </c>
    </row>
    <row r="122">
      <c r="A122" s="10" t="inlineStr">
        <is>
          <t>m.14487T&gt;C</t>
        </is>
      </c>
      <c r="B122" s="10" t="n">
        <v>56.75</v>
      </c>
      <c r="C122" s="10" t="inlineStr">
        <is>
          <t>Day 3 cleavage embryo, 2PN</t>
        </is>
      </c>
      <c r="D122" s="10" t="inlineStr">
        <is>
          <t>single blastomeres, diagnostic analysis</t>
        </is>
      </c>
      <c r="E122" s="10" t="inlineStr">
        <is>
          <t>Sallevelt 2017 Hum Reprod</t>
        </is>
      </c>
      <c r="F122" s="10" t="inlineStr">
        <is>
          <t>10.1093/humrep/dew356</t>
        </is>
      </c>
    </row>
    <row r="123">
      <c r="A123" s="12" t="inlineStr">
        <is>
          <t>m.14487T&gt;C</t>
        </is>
      </c>
      <c r="B123" s="12" t="n">
        <v>59.4</v>
      </c>
      <c r="C123" s="12" t="inlineStr">
        <is>
          <t>Day 3 cleavage embryo, 2PN</t>
        </is>
      </c>
      <c r="D123" s="12" t="inlineStr">
        <is>
          <t>single blastomeres, diagnostic analysis</t>
        </is>
      </c>
      <c r="E123" s="12" t="inlineStr">
        <is>
          <t>Sallevelt 2017 Hum Reprod</t>
        </is>
      </c>
      <c r="F123" s="12" t="inlineStr">
        <is>
          <t>10.1093/humrep/dew356</t>
        </is>
      </c>
    </row>
    <row r="124">
      <c r="A124" s="10" t="inlineStr">
        <is>
          <t>m.14487T&gt;C</t>
        </is>
      </c>
      <c r="B124" s="10" t="n">
        <v>62.5</v>
      </c>
      <c r="C124" s="10" t="inlineStr">
        <is>
          <t>Day 3 cleavage embryo, 2PN</t>
        </is>
      </c>
      <c r="D124" s="10" t="inlineStr">
        <is>
          <t>single blastomeres, diagnostic analysis</t>
        </is>
      </c>
      <c r="E124" s="10" t="inlineStr">
        <is>
          <t>Sallevelt 2017 Hum Reprod</t>
        </is>
      </c>
      <c r="F124" s="10" t="inlineStr">
        <is>
          <t>10.1093/humrep/dew356</t>
        </is>
      </c>
    </row>
    <row r="125">
      <c r="A125" s="12" t="inlineStr">
        <is>
          <t>m.14487T&gt;C</t>
        </is>
      </c>
      <c r="B125" s="12" t="n">
        <v>64.34999999999999</v>
      </c>
      <c r="C125" s="12" t="inlineStr">
        <is>
          <t>Day 3 cleavage embryo, 2PN</t>
        </is>
      </c>
      <c r="D125" s="12" t="inlineStr">
        <is>
          <t>single blastomeres, diagnostic analysis</t>
        </is>
      </c>
      <c r="E125" s="12" t="inlineStr">
        <is>
          <t>Sallevelt 2017 Hum Reprod</t>
        </is>
      </c>
      <c r="F125" s="12" t="inlineStr">
        <is>
          <t>10.1093/humrep/dew356</t>
        </is>
      </c>
    </row>
    <row r="126">
      <c r="A126" s="10" t="inlineStr">
        <is>
          <t>m.14487T&gt;C</t>
        </is>
      </c>
      <c r="B126" s="10" t="n">
        <v>73.2</v>
      </c>
      <c r="C126" s="10" t="inlineStr">
        <is>
          <t>Day 5/6 blastocyst</t>
        </is>
      </c>
      <c r="D126" s="10" t="inlineStr">
        <is>
          <t>TE biopsy; later TE/ICM fractions for donated embryos</t>
        </is>
      </c>
      <c r="E126" s="10" t="inlineStr">
        <is>
          <t>Tofilo et al., 2026, Journal of Assisted Reproduction and Genetics, in press</t>
        </is>
      </c>
      <c r="F126" s="10" t="n"/>
    </row>
    <row r="127">
      <c r="A127" s="12" t="inlineStr">
        <is>
          <t>m.14487T&gt;C</t>
        </is>
      </c>
      <c r="B127" s="12" t="n">
        <v>79.3</v>
      </c>
      <c r="C127" s="12" t="inlineStr">
        <is>
          <t>Day 3 cleavage embryo, 2PN</t>
        </is>
      </c>
      <c r="D127" s="12" t="inlineStr">
        <is>
          <t>single blastomeres, diagnostic analysis</t>
        </is>
      </c>
      <c r="E127" s="12" t="inlineStr">
        <is>
          <t>Sallevelt 2017 Hum Reprod</t>
        </is>
      </c>
      <c r="F127" s="12" t="inlineStr">
        <is>
          <t>10.1093/humrep/dew356</t>
        </is>
      </c>
    </row>
    <row r="128">
      <c r="A128" s="10" t="inlineStr">
        <is>
          <t>m.14487T&gt;C</t>
        </is>
      </c>
      <c r="B128" s="10" t="n">
        <v>88.2</v>
      </c>
      <c r="C128" s="10" t="inlineStr">
        <is>
          <t>Day 3 cleavage embryo, 2PN</t>
        </is>
      </c>
      <c r="D128" s="10" t="inlineStr">
        <is>
          <t>single blastomeres, diagnostic analysis</t>
        </is>
      </c>
      <c r="E128" s="10" t="inlineStr">
        <is>
          <t>Sallevelt 2017 Hum Reprod</t>
        </is>
      </c>
      <c r="F128" s="10" t="inlineStr">
        <is>
          <t>10.1093/humrep/dew356</t>
        </is>
      </c>
    </row>
    <row r="129">
      <c r="A129" s="12" t="inlineStr">
        <is>
          <t>m.14487T&gt;C</t>
        </is>
      </c>
      <c r="B129" s="12" t="n">
        <v>90.09999999999999</v>
      </c>
      <c r="C129" s="12" t="inlineStr">
        <is>
          <t>Day 3 cleavage embryo, 2PN</t>
        </is>
      </c>
      <c r="D129" s="12" t="inlineStr">
        <is>
          <t>single blastomeres, diagnostic analysis</t>
        </is>
      </c>
      <c r="E129" s="12" t="inlineStr">
        <is>
          <t>Sallevelt 2017 Hum Reprod</t>
        </is>
      </c>
      <c r="F129" s="12" t="inlineStr">
        <is>
          <t>10.1093/humrep/dew356</t>
        </is>
      </c>
    </row>
    <row r="130">
      <c r="A130" s="10" t="inlineStr">
        <is>
          <t>m.14487T&gt;C</t>
        </is>
      </c>
      <c r="B130" s="10" t="n">
        <v>92.3</v>
      </c>
      <c r="C130" s="10" t="inlineStr">
        <is>
          <t>Day 5/6 blastocyst</t>
        </is>
      </c>
      <c r="D130" s="10" t="inlineStr">
        <is>
          <t>TE biopsy; later TE/ICM fractions for donated embryos</t>
        </is>
      </c>
      <c r="E130" s="10" t="inlineStr">
        <is>
          <t>Tofilo et al., 2026, Journal of Assisted Reproduction and Genetics, in press</t>
        </is>
      </c>
      <c r="F130" s="10" t="n"/>
    </row>
    <row r="131">
      <c r="A131" s="12" t="inlineStr">
        <is>
          <t>m.14487T&gt;C</t>
        </is>
      </c>
      <c r="B131" s="12" t="n">
        <v>93.2</v>
      </c>
      <c r="C131" s="12" t="inlineStr">
        <is>
          <t>Day 3 cleavage embryo, 2PN</t>
        </is>
      </c>
      <c r="D131" s="12" t="inlineStr">
        <is>
          <t>single blastomeres, diagnostic analysis</t>
        </is>
      </c>
      <c r="E131" s="12" t="inlineStr">
        <is>
          <t>Sallevelt 2017 Hum Reprod</t>
        </is>
      </c>
      <c r="F131" s="12" t="inlineStr">
        <is>
          <t>10.1093/humrep/dew356</t>
        </is>
      </c>
    </row>
    <row r="132">
      <c r="A132" s="10" t="inlineStr">
        <is>
          <t>m.14487T&gt;C</t>
        </is>
      </c>
      <c r="B132" s="10" t="n">
        <v>95.45</v>
      </c>
      <c r="C132" s="10" t="inlineStr">
        <is>
          <t>Day 3 cleavage embryo, 2PN</t>
        </is>
      </c>
      <c r="D132" s="10" t="inlineStr">
        <is>
          <t>single blastomeres, diagnostic analysis</t>
        </is>
      </c>
      <c r="E132" s="10" t="inlineStr">
        <is>
          <t>Sallevelt 2017 Hum Reprod</t>
        </is>
      </c>
      <c r="F132" s="10" t="inlineStr">
        <is>
          <t>10.1093/humrep/dew356</t>
        </is>
      </c>
    </row>
    <row r="133">
      <c r="A133" s="12" t="inlineStr">
        <is>
          <t>m.14487T&gt;C</t>
        </is>
      </c>
      <c r="B133" s="12" t="n">
        <v>96.40000000000001</v>
      </c>
      <c r="C133" s="12" t="inlineStr">
        <is>
          <t>Day 3 cleavage embryo, 2PN</t>
        </is>
      </c>
      <c r="D133" s="12" t="inlineStr">
        <is>
          <t>single blastomeres, diagnostic analysis</t>
        </is>
      </c>
      <c r="E133" s="12" t="inlineStr">
        <is>
          <t>Sallevelt 2017 Hum Reprod</t>
        </is>
      </c>
      <c r="F133" s="12" t="inlineStr">
        <is>
          <t>10.1093/humrep/dew356</t>
        </is>
      </c>
    </row>
    <row r="134">
      <c r="A134" s="10" t="inlineStr">
        <is>
          <t>m.14487T&gt;C</t>
        </is>
      </c>
      <c r="B134" s="10" t="n">
        <v>96.45</v>
      </c>
      <c r="C134" s="10" t="inlineStr">
        <is>
          <t>Day 3 cleavage embryo, 2PN</t>
        </is>
      </c>
      <c r="D134" s="10" t="inlineStr">
        <is>
          <t>single blastomeres, diagnostic analysis</t>
        </is>
      </c>
      <c r="E134" s="10" t="inlineStr">
        <is>
          <t>Sallevelt 2017 Hum Reprod</t>
        </is>
      </c>
      <c r="F134" s="10" t="inlineStr">
        <is>
          <t>10.1093/humrep/dew356</t>
        </is>
      </c>
    </row>
    <row r="135">
      <c r="A135" s="12" t="inlineStr">
        <is>
          <t>m.14487T&gt;C</t>
        </is>
      </c>
      <c r="B135" s="12" t="n">
        <v>97.7</v>
      </c>
      <c r="C135" s="12" t="inlineStr">
        <is>
          <t>Day 3 cleavage embryo, 2PN</t>
        </is>
      </c>
      <c r="D135" s="12" t="inlineStr">
        <is>
          <t>single blastomeres, diagnostic analysis</t>
        </is>
      </c>
      <c r="E135" s="12" t="inlineStr">
        <is>
          <t>Sallevelt 2017 Hum Reprod</t>
        </is>
      </c>
      <c r="F135" s="12" t="inlineStr">
        <is>
          <t>10.1093/humrep/dew356</t>
        </is>
      </c>
    </row>
    <row r="136">
      <c r="A136" s="10" t="inlineStr">
        <is>
          <t>m.14487T&gt;C</t>
        </is>
      </c>
      <c r="B136" s="10" t="n">
        <v>98.34999999999999</v>
      </c>
      <c r="C136" s="10" t="inlineStr">
        <is>
          <t>Day 3 cleavage embryo, 2PN</t>
        </is>
      </c>
      <c r="D136" s="10" t="inlineStr">
        <is>
          <t>single blastomeres, diagnostic analysis</t>
        </is>
      </c>
      <c r="E136" s="10" t="inlineStr">
        <is>
          <t>Sallevelt 2017 Hum Reprod</t>
        </is>
      </c>
      <c r="F136" s="10" t="inlineStr">
        <is>
          <t>10.1093/humrep/dew356</t>
        </is>
      </c>
    </row>
    <row r="137">
      <c r="A137" s="12" t="inlineStr">
        <is>
          <t>m.14487T&gt;C</t>
        </is>
      </c>
      <c r="B137" s="12" t="n">
        <v>98.40000000000001</v>
      </c>
      <c r="C137" s="12" t="inlineStr">
        <is>
          <t>Day 3 cleavage embryo, 2PN</t>
        </is>
      </c>
      <c r="D137" s="12" t="inlineStr">
        <is>
          <t>single blastomeres, diagnostic analysis</t>
        </is>
      </c>
      <c r="E137" s="12" t="inlineStr">
        <is>
          <t>Sallevelt 2017 Hum Reprod</t>
        </is>
      </c>
      <c r="F137" s="12" t="inlineStr">
        <is>
          <t>10.1093/humrep/dew356</t>
        </is>
      </c>
    </row>
    <row r="138">
      <c r="A138" s="10" t="inlineStr">
        <is>
          <t>m.14487T&gt;C</t>
        </is>
      </c>
      <c r="B138" s="10" t="n">
        <v>99.59999999999999</v>
      </c>
      <c r="C138" s="10" t="inlineStr">
        <is>
          <t>Day 5/6 blastocyst</t>
        </is>
      </c>
      <c r="D138" s="10" t="inlineStr">
        <is>
          <t>TE biopsy; later TE/ICM fractions for donated embryos</t>
        </is>
      </c>
      <c r="E138" s="10" t="inlineStr">
        <is>
          <t>Tofilo et al., 2026, Journal of Assisted Reproduction and Genetics, in press</t>
        </is>
      </c>
      <c r="F138" s="10" t="n"/>
    </row>
    <row r="139">
      <c r="A139" s="12" t="inlineStr">
        <is>
          <t>m.14487T&gt;C</t>
        </is>
      </c>
      <c r="B139" s="12" t="n">
        <v>100</v>
      </c>
      <c r="C139" s="12" t="inlineStr">
        <is>
          <t>Day 3 cleavage embryo, 3PN</t>
        </is>
      </c>
      <c r="D139" s="12" t="inlineStr">
        <is>
          <t>multiple blastomeres, reanalysis</t>
        </is>
      </c>
      <c r="E139" s="12" t="inlineStr">
        <is>
          <t>Sallevelt 2017 Hum Reprod</t>
        </is>
      </c>
      <c r="F139" s="12" t="inlineStr">
        <is>
          <t>10.1093/humrep/dew356</t>
        </is>
      </c>
    </row>
    <row r="140">
      <c r="A140" s="10" t="inlineStr">
        <is>
          <t>m.10197G&gt;A</t>
        </is>
      </c>
      <c r="B140" s="10" t="n">
        <v>1</v>
      </c>
      <c r="C140" s="10" t="inlineStr">
        <is>
          <t>Day 5 blastocyst</t>
        </is>
      </c>
      <c r="D140" s="10" t="inlineStr">
        <is>
          <t>5–6 TE cells</t>
        </is>
      </c>
      <c r="E140" s="10" t="inlineStr">
        <is>
          <t>Mizuguchi 2025 HGV</t>
        </is>
      </c>
      <c r="F140" s="10" t="inlineStr">
        <is>
          <t>10.1038/s41439-025-00311-5</t>
        </is>
      </c>
    </row>
    <row r="141">
      <c r="A141" s="12" t="inlineStr">
        <is>
          <t>m.10197G&gt;A</t>
        </is>
      </c>
      <c r="B141" s="12" t="n">
        <v>2</v>
      </c>
      <c r="C141" s="12" t="inlineStr">
        <is>
          <t>Day 5 blastocyst</t>
        </is>
      </c>
      <c r="D141" s="12" t="inlineStr">
        <is>
          <t>5–6 TE cells</t>
        </is>
      </c>
      <c r="E141" s="12" t="inlineStr">
        <is>
          <t>Mizuguchi 2025 HGV</t>
        </is>
      </c>
      <c r="F141" s="12" t="inlineStr">
        <is>
          <t>10.1038/s41439-025-00311-5</t>
        </is>
      </c>
    </row>
    <row r="142">
      <c r="A142" s="10" t="inlineStr">
        <is>
          <t>m.10197G&gt;A</t>
        </is>
      </c>
      <c r="B142" s="10" t="n">
        <v>2</v>
      </c>
      <c r="C142" s="10" t="inlineStr">
        <is>
          <t>Day 5 blastocyst</t>
        </is>
      </c>
      <c r="D142" s="10" t="inlineStr">
        <is>
          <t>5–6 TE cells</t>
        </is>
      </c>
      <c r="E142" s="10" t="inlineStr">
        <is>
          <t>Mizuguchi 2025 HGV</t>
        </is>
      </c>
      <c r="F142" s="10" t="inlineStr">
        <is>
          <t>10.1038/s41439-025-00311-5</t>
        </is>
      </c>
    </row>
    <row r="143">
      <c r="A143" s="12" t="inlineStr">
        <is>
          <t>m.10197G&gt;A</t>
        </is>
      </c>
      <c r="B143" s="12" t="n">
        <v>5</v>
      </c>
      <c r="C143" s="12" t="inlineStr">
        <is>
          <t>Day 5 blastocyst</t>
        </is>
      </c>
      <c r="D143" s="12" t="inlineStr">
        <is>
          <t>5–6 TE cells</t>
        </is>
      </c>
      <c r="E143" s="12" t="inlineStr">
        <is>
          <t>Mizuguchi 2025 HGV</t>
        </is>
      </c>
      <c r="F143" s="12" t="inlineStr">
        <is>
          <t>10.1038/s41439-025-00311-5</t>
        </is>
      </c>
      <c r="I143" s="13" t="inlineStr">
        <is>
          <t>Fig. 2A печатает 5%; текст статьи классифицирует пять эмбрионов как &lt;5%</t>
        </is>
      </c>
    </row>
    <row r="144">
      <c r="A144" s="10" t="inlineStr">
        <is>
          <t>m.10197G&gt;A</t>
        </is>
      </c>
      <c r="B144" s="10" t="n">
        <v>5</v>
      </c>
      <c r="C144" s="10" t="inlineStr">
        <is>
          <t>Day 5 blastocyst</t>
        </is>
      </c>
      <c r="D144" s="10" t="inlineStr">
        <is>
          <t>5–6 TE cells</t>
        </is>
      </c>
      <c r="E144" s="10" t="inlineStr">
        <is>
          <t>Mizuguchi 2025 HGV</t>
        </is>
      </c>
      <c r="F144" s="10" t="inlineStr">
        <is>
          <t>10.1038/s41439-025-00311-5</t>
        </is>
      </c>
      <c r="I144" s="13" t="inlineStr">
        <is>
          <t>Fig. 2A печатает 5%; текст статьи классифицирует пять эмбрионов как &lt;5%</t>
        </is>
      </c>
    </row>
    <row r="145">
      <c r="A145" s="12" t="inlineStr">
        <is>
          <t>m.10197G&gt;A</t>
        </is>
      </c>
      <c r="B145" s="12" t="n"/>
      <c r="C145" s="12" t="inlineStr">
        <is>
          <t>Day 5 blastocyst</t>
        </is>
      </c>
      <c r="D145" s="12" t="inlineStr">
        <is>
          <t>5–6 TE cells</t>
        </is>
      </c>
      <c r="E145" s="12" t="inlineStr">
        <is>
          <t>Mizuguchi 2025 HGV</t>
        </is>
      </c>
      <c r="F145" s="12" t="inlineStr">
        <is>
          <t>10.1038/s41439-025-00311-5</t>
        </is>
      </c>
      <c r="G145" s="13" t="n">
        <v>26</v>
      </c>
      <c r="H145" s="13" t="n">
        <v>45</v>
      </c>
      <c r="I145" s="13" t="inlineStr">
        <is>
          <t>опубликованный диапазон 26–45% (Mizuguchi et al., Fig. 2A); середина не импутирована</t>
        </is>
      </c>
    </row>
    <row r="146">
      <c r="A146" s="10" t="inlineStr">
        <is>
          <t>m.10197G&gt;A</t>
        </is>
      </c>
      <c r="B146" s="10" t="n"/>
      <c r="C146" s="10" t="inlineStr">
        <is>
          <t>Day 5 blastocyst</t>
        </is>
      </c>
      <c r="D146" s="10" t="inlineStr">
        <is>
          <t>5–6 TE cells</t>
        </is>
      </c>
      <c r="E146" s="10" t="inlineStr">
        <is>
          <t>Mizuguchi 2025 HGV</t>
        </is>
      </c>
      <c r="F146" s="10" t="inlineStr">
        <is>
          <t>10.1038/s41439-025-00311-5</t>
        </is>
      </c>
      <c r="G146" s="13" t="n">
        <v>84</v>
      </c>
      <c r="H146" s="13" t="n">
        <v>88</v>
      </c>
      <c r="I146" s="13" t="inlineStr">
        <is>
          <t>опубликованный диапазон 84–88% (Mizuguchi et al., Fig. 2A); середина не импутирована</t>
        </is>
      </c>
    </row>
    <row r="147">
      <c r="A147" s="12" t="inlineStr">
        <is>
          <t>m.10197G&gt;A</t>
        </is>
      </c>
      <c r="B147" s="12" t="n">
        <v>96</v>
      </c>
      <c r="C147" s="12" t="inlineStr">
        <is>
          <t>Day 5 blastocyst</t>
        </is>
      </c>
      <c r="D147" s="12" t="inlineStr">
        <is>
          <t>5–6 TE cells</t>
        </is>
      </c>
      <c r="E147" s="12" t="inlineStr">
        <is>
          <t>Mizuguchi 2025 HGV</t>
        </is>
      </c>
      <c r="F147" s="12" t="inlineStr">
        <is>
          <t>10.1038/s41439-025-00311-5</t>
        </is>
      </c>
    </row>
    <row r="148">
      <c r="A148" s="10" t="inlineStr">
        <is>
          <t>m.10197G&gt;A</t>
        </is>
      </c>
      <c r="B148" s="10" t="n">
        <v>96.5</v>
      </c>
      <c r="C148" s="10" t="inlineStr">
        <is>
          <t>Day 5 blastocyst</t>
        </is>
      </c>
      <c r="D148" s="10" t="inlineStr">
        <is>
          <t>5–6 TE cells</t>
        </is>
      </c>
      <c r="E148" s="10" t="inlineStr">
        <is>
          <t>Mizuguchi 2025 HGV</t>
        </is>
      </c>
      <c r="F148" s="10" t="inlineStr">
        <is>
          <t>10.1038/s41439-025-00311-5</t>
        </is>
      </c>
    </row>
    <row r="149">
      <c r="A149" s="12" t="inlineStr">
        <is>
          <t>m.10191T&gt;C</t>
        </is>
      </c>
      <c r="B149" s="12" t="n">
        <v>0</v>
      </c>
      <c r="C149" s="12" t="inlineStr">
        <is>
          <t>cleavage-stage</t>
        </is>
      </c>
      <c r="D149" s="12" t="inlineStr">
        <is>
          <t>blastomeres</t>
        </is>
      </c>
      <c r="E149" s="12" t="inlineStr">
        <is>
          <t>Spath 2021 Fertil Steril</t>
        </is>
      </c>
      <c r="F149" s="12" t="inlineStr">
        <is>
          <t>10.1016/j.fertnstert.2021.01.026</t>
        </is>
      </c>
    </row>
    <row r="150">
      <c r="A150" s="10" t="inlineStr">
        <is>
          <t>m.10191T&gt;C</t>
        </is>
      </c>
      <c r="B150" s="10" t="n">
        <v>0</v>
      </c>
      <c r="C150" s="10" t="inlineStr">
        <is>
          <t>cleavage-stage</t>
        </is>
      </c>
      <c r="D150" s="10" t="inlineStr">
        <is>
          <t>blastomeres</t>
        </is>
      </c>
      <c r="E150" s="10" t="inlineStr">
        <is>
          <t>Spath 2021 Fertil Steril</t>
        </is>
      </c>
      <c r="F150" s="10" t="inlineStr">
        <is>
          <t>10.1016/j.fertnstert.2021.01.026</t>
        </is>
      </c>
    </row>
    <row r="151">
      <c r="A151" s="12" t="inlineStr">
        <is>
          <t>m.10191T&gt;C</t>
        </is>
      </c>
      <c r="B151" s="12" t="n">
        <v>0</v>
      </c>
      <c r="C151" s="12" t="inlineStr">
        <is>
          <t>whole embryo</t>
        </is>
      </c>
      <c r="D151" s="12" t="inlineStr">
        <is>
          <t>whole embryo</t>
        </is>
      </c>
      <c r="E151" s="12" t="inlineStr">
        <is>
          <t>Spath 2021 Fertil Steril</t>
        </is>
      </c>
      <c r="F151" s="12" t="inlineStr">
        <is>
          <t>10.1016/j.fertnstert.2021.01.026</t>
        </is>
      </c>
    </row>
    <row r="152">
      <c r="A152" s="10" t="inlineStr">
        <is>
          <t>m.10191T&gt;C</t>
        </is>
      </c>
      <c r="B152" s="10" t="n">
        <v>0</v>
      </c>
      <c r="C152" s="10" t="inlineStr">
        <is>
          <t>cleavage-stage</t>
        </is>
      </c>
      <c r="D152" s="10" t="inlineStr">
        <is>
          <t>blastomeres</t>
        </is>
      </c>
      <c r="E152" s="10" t="inlineStr">
        <is>
          <t>Spath 2021 Fertil Steril</t>
        </is>
      </c>
      <c r="F152" s="10" t="inlineStr">
        <is>
          <t>10.1016/j.fertnstert.2021.01.026</t>
        </is>
      </c>
    </row>
    <row r="153">
      <c r="A153" s="12" t="inlineStr">
        <is>
          <t>m.10191T&gt;C</t>
        </is>
      </c>
      <c r="B153" s="12" t="n">
        <v>0</v>
      </c>
      <c r="C153" s="12" t="inlineStr">
        <is>
          <t>cleavage-stage</t>
        </is>
      </c>
      <c r="D153" s="12" t="inlineStr">
        <is>
          <t>blastomeres</t>
        </is>
      </c>
      <c r="E153" s="12" t="inlineStr">
        <is>
          <t>Spath 2021 Fertil Steril</t>
        </is>
      </c>
      <c r="F153" s="12" t="inlineStr">
        <is>
          <t>10.1016/j.fertnstert.2021.01.026</t>
        </is>
      </c>
    </row>
    <row r="154">
      <c r="A154" s="10" t="inlineStr">
        <is>
          <t>m.10191T&gt;C</t>
        </is>
      </c>
      <c r="B154" s="10" t="n">
        <v>0</v>
      </c>
      <c r="C154" s="10" t="inlineStr">
        <is>
          <t>whole embryo</t>
        </is>
      </c>
      <c r="D154" s="10" t="inlineStr">
        <is>
          <t>whole embryo</t>
        </is>
      </c>
      <c r="E154" s="10" t="inlineStr">
        <is>
          <t>Spath 2021 Fertil Steril</t>
        </is>
      </c>
      <c r="F154" s="10" t="inlineStr">
        <is>
          <t>10.1016/j.fertnstert.2021.01.026</t>
        </is>
      </c>
    </row>
    <row r="155">
      <c r="A155" s="12" t="inlineStr">
        <is>
          <t>m.10191T&gt;C</t>
        </is>
      </c>
      <c r="B155" s="12" t="n">
        <v>0</v>
      </c>
      <c r="C155" s="12" t="inlineStr">
        <is>
          <t>whole embryo</t>
        </is>
      </c>
      <c r="D155" s="12" t="inlineStr">
        <is>
          <t>whole embryo</t>
        </is>
      </c>
      <c r="E155" s="12" t="inlineStr">
        <is>
          <t>Spath 2021 Fertil Steril</t>
        </is>
      </c>
      <c r="F155" s="12" t="inlineStr">
        <is>
          <t>10.1016/j.fertnstert.2021.01.026</t>
        </is>
      </c>
    </row>
    <row r="156">
      <c r="A156" s="10" t="inlineStr">
        <is>
          <t>m.10191T&gt;C</t>
        </is>
      </c>
      <c r="B156" s="10" t="n">
        <v>0</v>
      </c>
      <c r="C156" s="10" t="inlineStr">
        <is>
          <t>cleavage-stage</t>
        </is>
      </c>
      <c r="D156" s="10" t="inlineStr">
        <is>
          <t>blastomeres</t>
        </is>
      </c>
      <c r="E156" s="10" t="inlineStr">
        <is>
          <t>Spath 2021 Fertil Steril</t>
        </is>
      </c>
      <c r="F156" s="10" t="inlineStr">
        <is>
          <t>10.1016/j.fertnstert.2021.01.026</t>
        </is>
      </c>
    </row>
    <row r="157">
      <c r="A157" s="12" t="inlineStr">
        <is>
          <t>m.8993T&gt;G</t>
        </is>
      </c>
      <c r="B157" s="12" t="n">
        <v>0</v>
      </c>
      <c r="C157" s="12" t="inlineStr">
        <is>
          <t>transferred embryo(s) linked to live birth</t>
        </is>
      </c>
      <c r="D157" s="12" t="inlineStr">
        <is>
          <t>test blastomere(s)</t>
        </is>
      </c>
      <c r="E157" s="12" t="inlineStr">
        <is>
          <t>Hyslop 2025 NEJM</t>
        </is>
      </c>
      <c r="F157" s="12" t="inlineStr">
        <is>
          <t>10.1056/NEJMoa2415539</t>
        </is>
      </c>
    </row>
    <row r="158">
      <c r="A158" s="10" t="inlineStr">
        <is>
          <t>m.8993T&gt;G</t>
        </is>
      </c>
      <c r="B158" s="10" t="n">
        <v>0</v>
      </c>
      <c r="C158" s="10" t="inlineStr">
        <is>
          <t>transferred embryo(s) linked to live birth</t>
        </is>
      </c>
      <c r="D158" s="10" t="inlineStr">
        <is>
          <t>test blastomere(s)</t>
        </is>
      </c>
      <c r="E158" s="10" t="inlineStr">
        <is>
          <t>Hyslop 2025 NEJM</t>
        </is>
      </c>
      <c r="F158" s="10" t="inlineStr">
        <is>
          <t>10.1056/NEJMoa2415539</t>
        </is>
      </c>
    </row>
    <row r="159">
      <c r="A159" s="12" t="inlineStr">
        <is>
          <t>m.8993T&gt;G</t>
        </is>
      </c>
      <c r="B159" s="12" t="n">
        <v>0</v>
      </c>
      <c r="C159" s="12" t="inlineStr">
        <is>
          <t>blastocyst</t>
        </is>
      </c>
      <c r="D159" s="12" t="inlineStr">
        <is>
          <t>TE biopsy</t>
        </is>
      </c>
      <c r="E159" s="12" t="inlineStr">
        <is>
          <t>Spath 2021 Fertil Steril</t>
        </is>
      </c>
      <c r="F159" s="12" t="inlineStr">
        <is>
          <t>10.1016/j.fertnstert.2021.01.026</t>
        </is>
      </c>
    </row>
    <row r="160">
      <c r="A160" s="10" t="inlineStr">
        <is>
          <t>m.8993T&gt;G</t>
        </is>
      </c>
      <c r="B160" s="10" t="n">
        <v>0</v>
      </c>
      <c r="C160" s="10" t="inlineStr">
        <is>
          <t>whole embryo</t>
        </is>
      </c>
      <c r="D160" s="10" t="inlineStr">
        <is>
          <t>whole embryo</t>
        </is>
      </c>
      <c r="E160" s="10" t="inlineStr">
        <is>
          <t>Spath 2021 Fertil Steril</t>
        </is>
      </c>
      <c r="F160" s="10" t="inlineStr">
        <is>
          <t>10.1016/j.fertnstert.2021.01.026</t>
        </is>
      </c>
    </row>
    <row r="161">
      <c r="A161" s="12" t="inlineStr">
        <is>
          <t>m.8993T&gt;G</t>
        </is>
      </c>
      <c r="B161" s="12" t="n">
        <v>0</v>
      </c>
      <c r="C161" s="12" t="inlineStr">
        <is>
          <t>blastocyst TE biopsy</t>
        </is>
      </c>
      <c r="D161" s="12" t="inlineStr">
        <is>
          <t>TE biopsy</t>
        </is>
      </c>
      <c r="E161" s="12" t="inlineStr">
        <is>
          <t>Spath 2021 Fertil Steril</t>
        </is>
      </c>
      <c r="F161" s="12" t="inlineStr">
        <is>
          <t>10.1016/j.fertnstert.2021.01.026</t>
        </is>
      </c>
    </row>
    <row r="162">
      <c r="A162" s="10" t="inlineStr">
        <is>
          <t>m.8993T&gt;G</t>
        </is>
      </c>
      <c r="B162" s="10" t="n">
        <v>0</v>
      </c>
      <c r="C162" s="10" t="inlineStr">
        <is>
          <t>blastocyst TE biopsy</t>
        </is>
      </c>
      <c r="D162" s="10" t="inlineStr">
        <is>
          <t>TE biopsy</t>
        </is>
      </c>
      <c r="E162" s="10" t="inlineStr">
        <is>
          <t>Spath 2021 Fertil Steril</t>
        </is>
      </c>
      <c r="F162" s="10" t="inlineStr">
        <is>
          <t>10.1016/j.fertnstert.2021.01.026</t>
        </is>
      </c>
    </row>
    <row r="163">
      <c r="A163" s="12" t="inlineStr">
        <is>
          <t>m.8993T&gt;G</t>
        </is>
      </c>
      <c r="B163" s="12" t="n">
        <v>0</v>
      </c>
      <c r="C163" s="12" t="inlineStr">
        <is>
          <t>cleavage-stage embryo</t>
        </is>
      </c>
      <c r="D163" s="12" t="inlineStr">
        <is>
          <t>5 blastomeres</t>
        </is>
      </c>
      <c r="E163" s="12" t="inlineStr">
        <is>
          <t>Spath 2021 Fertil Steril</t>
        </is>
      </c>
      <c r="F163" s="12" t="inlineStr">
        <is>
          <t>10.1016/j.fertnstert.2021.01.026</t>
        </is>
      </c>
    </row>
    <row r="164">
      <c r="A164" s="10" t="inlineStr">
        <is>
          <t>m.8993T&gt;G</t>
        </is>
      </c>
      <c r="B164" s="10" t="n">
        <v>0</v>
      </c>
      <c r="C164" s="10" t="inlineStr">
        <is>
          <t>blastocyst</t>
        </is>
      </c>
      <c r="D164" s="10" t="inlineStr">
        <is>
          <t>TE biopsy</t>
        </is>
      </c>
      <c r="E164" s="10" t="inlineStr">
        <is>
          <t>Spath 2021 Fertil Steril</t>
        </is>
      </c>
      <c r="F164" s="10" t="inlineStr">
        <is>
          <t>10.1016/j.fertnstert.2021.01.026</t>
        </is>
      </c>
    </row>
    <row r="165">
      <c r="A165" s="12" t="inlineStr">
        <is>
          <t>m.8993T&gt;G</t>
        </is>
      </c>
      <c r="B165" s="12" t="n">
        <v>0</v>
      </c>
      <c r="C165" s="12" t="inlineStr">
        <is>
          <t>cleavage-stage embryo</t>
        </is>
      </c>
      <c r="D165" s="12" t="inlineStr">
        <is>
          <t>11 blastomeres</t>
        </is>
      </c>
      <c r="E165" s="12" t="inlineStr">
        <is>
          <t>Spath 2021 Fertil Steril</t>
        </is>
      </c>
      <c r="F165" s="12" t="inlineStr">
        <is>
          <t>10.1016/j.fertnstert.2021.01.026</t>
        </is>
      </c>
    </row>
    <row r="166">
      <c r="A166" s="10" t="inlineStr">
        <is>
          <t>m.8993T&gt;G</t>
        </is>
      </c>
      <c r="B166" s="10" t="n">
        <v>0</v>
      </c>
      <c r="C166" s="10" t="inlineStr">
        <is>
          <t>whole embryo</t>
        </is>
      </c>
      <c r="D166" s="10" t="inlineStr">
        <is>
          <t>whole embryo</t>
        </is>
      </c>
      <c r="E166" s="10" t="inlineStr">
        <is>
          <t>Spath 2021 Fertil Steril</t>
        </is>
      </c>
      <c r="F166" s="10" t="inlineStr">
        <is>
          <t>10.1016/j.fertnstert.2021.01.026</t>
        </is>
      </c>
    </row>
    <row r="167">
      <c r="A167" s="12" t="inlineStr">
        <is>
          <t>m.8993T&gt;G</t>
        </is>
      </c>
      <c r="B167" s="12" t="n">
        <v>0</v>
      </c>
      <c r="C167" s="12" t="inlineStr">
        <is>
          <t>blastocyst</t>
        </is>
      </c>
      <c r="D167" s="12" t="inlineStr">
        <is>
          <t>TE biopsy</t>
        </is>
      </c>
      <c r="E167" s="12" t="inlineStr">
        <is>
          <t>Spath 2021 Fertil Steril</t>
        </is>
      </c>
      <c r="F167" s="12" t="inlineStr">
        <is>
          <t>10.1016/j.fertnstert.2021.01.026</t>
        </is>
      </c>
    </row>
    <row r="168">
      <c r="A168" s="10" t="inlineStr">
        <is>
          <t>m.8993T&gt;G</t>
        </is>
      </c>
      <c r="B168" s="10" t="n">
        <v>0</v>
      </c>
      <c r="C168" s="10" t="inlineStr">
        <is>
          <t>blastocyst</t>
        </is>
      </c>
      <c r="D168" s="10" t="inlineStr">
        <is>
          <t>TE biopsy</t>
        </is>
      </c>
      <c r="E168" s="10" t="inlineStr">
        <is>
          <t>Spath 2021 Fertil Steril</t>
        </is>
      </c>
      <c r="F168" s="10" t="inlineStr">
        <is>
          <t>10.1016/j.fertnstert.2021.01.026</t>
        </is>
      </c>
    </row>
    <row r="169">
      <c r="A169" s="12" t="inlineStr">
        <is>
          <t>m.8993T&gt;G</t>
        </is>
      </c>
      <c r="B169" s="12" t="n">
        <v>0</v>
      </c>
      <c r="C169" s="12" t="inlineStr">
        <is>
          <t>blastocyst</t>
        </is>
      </c>
      <c r="D169" s="12" t="inlineStr">
        <is>
          <t>TE biopsy</t>
        </is>
      </c>
      <c r="E169" s="12" t="inlineStr">
        <is>
          <t>Spath 2021 Fertil Steril</t>
        </is>
      </c>
      <c r="F169" s="12" t="inlineStr">
        <is>
          <t>10.1016/j.fertnstert.2021.01.026</t>
        </is>
      </c>
    </row>
    <row r="170">
      <c r="A170" s="10" t="inlineStr">
        <is>
          <t>m.8993T&gt;G</t>
        </is>
      </c>
      <c r="B170" s="10" t="n">
        <v>0</v>
      </c>
      <c r="C170" s="10" t="inlineStr">
        <is>
          <t>blastocyst TE biopsy</t>
        </is>
      </c>
      <c r="D170" s="10" t="inlineStr">
        <is>
          <t>TE biopsy</t>
        </is>
      </c>
      <c r="E170" s="10" t="inlineStr">
        <is>
          <t>Spath 2021 Fertil Steril</t>
        </is>
      </c>
      <c r="F170" s="10" t="inlineStr">
        <is>
          <t>10.1016/j.fertnstert.2021.01.026</t>
        </is>
      </c>
    </row>
    <row r="171">
      <c r="A171" s="12" t="inlineStr">
        <is>
          <t>m.8993T&gt;G</t>
        </is>
      </c>
      <c r="B171" s="12" t="n">
        <v>0</v>
      </c>
      <c r="C171" s="12" t="inlineStr">
        <is>
          <t>blastocyst TE biopsy</t>
        </is>
      </c>
      <c r="D171" s="12" t="inlineStr">
        <is>
          <t>TE biopsy</t>
        </is>
      </c>
      <c r="E171" s="12" t="inlineStr">
        <is>
          <t>Spath 2021 Fertil Steril</t>
        </is>
      </c>
      <c r="F171" s="12" t="inlineStr">
        <is>
          <t>10.1016/j.fertnstert.2021.01.026</t>
        </is>
      </c>
    </row>
    <row r="172">
      <c r="A172" s="10" t="inlineStr">
        <is>
          <t>m.8993T&gt;G</t>
        </is>
      </c>
      <c r="B172" s="10" t="n">
        <v>0</v>
      </c>
      <c r="C172" s="10" t="inlineStr">
        <is>
          <t>blastocyst TE biopsy</t>
        </is>
      </c>
      <c r="D172" s="10" t="inlineStr">
        <is>
          <t>TE biopsy</t>
        </is>
      </c>
      <c r="E172" s="10" t="inlineStr">
        <is>
          <t>Spath 2021 Fertil Steril</t>
        </is>
      </c>
      <c r="F172" s="10" t="inlineStr">
        <is>
          <t>10.1016/j.fertnstert.2021.01.026</t>
        </is>
      </c>
    </row>
    <row r="173">
      <c r="A173" s="12" t="inlineStr">
        <is>
          <t>m.8993T&gt;G</t>
        </is>
      </c>
      <c r="B173" s="12" t="n">
        <v>0</v>
      </c>
      <c r="C173" s="12" t="inlineStr">
        <is>
          <t>blastocyst TE biopsy</t>
        </is>
      </c>
      <c r="D173" s="12" t="inlineStr">
        <is>
          <t>TE biopsy</t>
        </is>
      </c>
      <c r="E173" s="12" t="inlineStr">
        <is>
          <t>Spath 2021 Fertil Steril</t>
        </is>
      </c>
      <c r="F173" s="12" t="inlineStr">
        <is>
          <t>10.1016/j.fertnstert.2021.01.026</t>
        </is>
      </c>
    </row>
    <row r="174">
      <c r="A174" s="10" t="inlineStr">
        <is>
          <t>m.8993T&gt;G</t>
        </is>
      </c>
      <c r="B174" s="10" t="n">
        <v>0</v>
      </c>
      <c r="C174" s="10" t="inlineStr">
        <is>
          <t>blastocyst TE biopsy</t>
        </is>
      </c>
      <c r="D174" s="10" t="inlineStr">
        <is>
          <t>TE biopsy</t>
        </is>
      </c>
      <c r="E174" s="10" t="inlineStr">
        <is>
          <t>Spath 2021 Fertil Steril</t>
        </is>
      </c>
      <c r="F174" s="10" t="inlineStr">
        <is>
          <t>10.1016/j.fertnstert.2021.01.026</t>
        </is>
      </c>
    </row>
    <row r="175">
      <c r="A175" s="12" t="inlineStr">
        <is>
          <t>m.8993T&gt;G</t>
        </is>
      </c>
      <c r="B175" s="12" t="n">
        <v>0</v>
      </c>
      <c r="C175" s="12" t="inlineStr">
        <is>
          <t>blastocyst TE biopsy</t>
        </is>
      </c>
      <c r="D175" s="12" t="inlineStr">
        <is>
          <t>TE biopsy</t>
        </is>
      </c>
      <c r="E175" s="12" t="inlineStr">
        <is>
          <t>Spath 2021 Fertil Steril</t>
        </is>
      </c>
      <c r="F175" s="12" t="inlineStr">
        <is>
          <t>10.1016/j.fertnstert.2021.01.026</t>
        </is>
      </c>
    </row>
    <row r="176">
      <c r="A176" s="10" t="inlineStr">
        <is>
          <t>m.8993T&gt;G</t>
        </is>
      </c>
      <c r="B176" s="10" t="n">
        <v>0</v>
      </c>
      <c r="C176" s="10" t="inlineStr">
        <is>
          <t>blastocyst TE biopsy</t>
        </is>
      </c>
      <c r="D176" s="10" t="inlineStr">
        <is>
          <t>TE biopsy</t>
        </is>
      </c>
      <c r="E176" s="10" t="inlineStr">
        <is>
          <t>Spath 2021 Fertil Steril</t>
        </is>
      </c>
      <c r="F176" s="10" t="inlineStr">
        <is>
          <t>10.1016/j.fertnstert.2021.01.026</t>
        </is>
      </c>
    </row>
    <row r="177">
      <c r="A177" s="12" t="inlineStr">
        <is>
          <t>m.8993T&gt;G</t>
        </is>
      </c>
      <c r="B177" s="12" t="n">
        <v>0</v>
      </c>
      <c r="C177" s="12" t="inlineStr">
        <is>
          <t>blastocyst TE biopsy</t>
        </is>
      </c>
      <c r="D177" s="12" t="inlineStr">
        <is>
          <t>TE biopsy</t>
        </is>
      </c>
      <c r="E177" s="12" t="inlineStr">
        <is>
          <t>Spath 2021 Fertil Steril</t>
        </is>
      </c>
      <c r="F177" s="12" t="inlineStr">
        <is>
          <t>10.1016/j.fertnstert.2021.01.026</t>
        </is>
      </c>
    </row>
    <row r="178">
      <c r="A178" s="10" t="inlineStr">
        <is>
          <t>m.8993T&gt;G</t>
        </is>
      </c>
      <c r="B178" s="10" t="n">
        <v>0</v>
      </c>
      <c r="C178" s="10" t="inlineStr">
        <is>
          <t>Day 3/4 cleavage</t>
        </is>
      </c>
      <c r="D178" s="10" t="inlineStr">
        <is>
          <t>two blastomeres</t>
        </is>
      </c>
      <c r="E178" s="10" t="inlineStr">
        <is>
          <t>Steffann 2006 JMG</t>
        </is>
      </c>
      <c r="F178" s="10" t="inlineStr">
        <is>
          <t>10.1136/jmg.2005.032326</t>
        </is>
      </c>
    </row>
    <row r="179">
      <c r="A179" s="12" t="inlineStr">
        <is>
          <t>m.8993T&gt;G</t>
        </is>
      </c>
      <c r="B179" s="12" t="n">
        <v>0</v>
      </c>
      <c r="C179" s="12" t="inlineStr">
        <is>
          <t>Day 3/4 cleavage</t>
        </is>
      </c>
      <c r="D179" s="12" t="inlineStr">
        <is>
          <t>two blastomeres</t>
        </is>
      </c>
      <c r="E179" s="12" t="inlineStr">
        <is>
          <t>Steffann 2006 JMG</t>
        </is>
      </c>
      <c r="F179" s="12" t="inlineStr">
        <is>
          <t>10.1136/jmg.2005.032326</t>
        </is>
      </c>
    </row>
    <row r="180">
      <c r="A180" s="10" t="inlineStr">
        <is>
          <t>m.8993T&gt;G</t>
        </is>
      </c>
      <c r="B180" s="10" t="n">
        <v>2.5</v>
      </c>
      <c r="C180" s="10" t="inlineStr">
        <is>
          <t>cleavage-stage biopsy</t>
        </is>
      </c>
      <c r="D180" s="10" t="inlineStr">
        <is>
          <t>blastomere(s)</t>
        </is>
      </c>
      <c r="E180" s="10" t="inlineStr">
        <is>
          <t>Thorburn/Stock-Myer 2009</t>
        </is>
      </c>
      <c r="F180" s="10" t="n"/>
    </row>
    <row r="181">
      <c r="A181" s="12" t="inlineStr">
        <is>
          <t>m.8993T&gt;G</t>
        </is>
      </c>
      <c r="B181" s="12" t="n">
        <v>88.7</v>
      </c>
      <c r="C181" s="12" t="inlineStr">
        <is>
          <t>whole embryo</t>
        </is>
      </c>
      <c r="D181" s="12" t="inlineStr">
        <is>
          <t>whole embryo</t>
        </is>
      </c>
      <c r="E181" s="12" t="inlineStr">
        <is>
          <t>Spath 2021 Fertil Steril</t>
        </is>
      </c>
      <c r="F181" s="12" t="inlineStr">
        <is>
          <t>10.1016/j.fertnstert.2021.01.026</t>
        </is>
      </c>
    </row>
    <row r="182">
      <c r="A182" s="10" t="inlineStr">
        <is>
          <t>m.8993T&gt;G</t>
        </is>
      </c>
      <c r="B182" s="10" t="n">
        <v>94</v>
      </c>
      <c r="C182" s="10" t="inlineStr">
        <is>
          <t>Day 3/4 cleavage</t>
        </is>
      </c>
      <c r="D182" s="10" t="inlineStr">
        <is>
          <t>blastomeres / whole affected embryo</t>
        </is>
      </c>
      <c r="E182" s="10" t="inlineStr">
        <is>
          <t>Steffann 2006 JMG</t>
        </is>
      </c>
      <c r="F182" s="10" t="inlineStr">
        <is>
          <t>10.1136/jmg.2005.032326</t>
        </is>
      </c>
    </row>
    <row r="183">
      <c r="A183" s="10" t="inlineStr">
        <is>
          <t>m.3250T&gt;C</t>
        </is>
      </c>
      <c r="B183" s="10" t="n">
        <v>17.8</v>
      </c>
      <c r="C183" s="10" t="inlineStr">
        <is>
          <t>Day 7 blastocyst (E1, aneuploid)</t>
        </is>
      </c>
      <c r="D183" s="10" t="inlineStr">
        <is>
          <t>TE biopsy (3–5 cells)</t>
        </is>
      </c>
      <c r="E183" s="10" t="inlineStr">
        <is>
          <t>Hu 2026 JARG</t>
        </is>
      </c>
      <c r="F183" s="10" t="inlineStr">
        <is>
          <t>10.1007/s10815-026-04041-7</t>
        </is>
      </c>
    </row>
    <row r="184">
      <c r="A184" s="10" t="inlineStr">
        <is>
          <t>m.3250T&gt;C</t>
        </is>
      </c>
      <c r="B184" s="10" t="n">
        <v>0</v>
      </c>
      <c r="C184" s="10" t="inlineStr">
        <is>
          <t>Day 5 arrested embryo (E2)</t>
        </is>
      </c>
      <c r="D184" s="10" t="inlineStr">
        <is>
          <t>whole embryo</t>
        </is>
      </c>
      <c r="E184" s="10" t="inlineStr">
        <is>
          <t>Hu 2026 JARG</t>
        </is>
      </c>
      <c r="F184" s="10" t="inlineStr">
        <is>
          <t>10.1007/s10815-026-04041-7</t>
        </is>
      </c>
      <c r="I184" t="inlineStr">
        <is>
          <t>0 = ниже порога 1,0%</t>
        </is>
      </c>
    </row>
    <row r="185">
      <c r="A185" s="10" t="inlineStr">
        <is>
          <t>m.3250T&gt;C</t>
        </is>
      </c>
      <c r="B185" s="10" t="n">
        <v>0</v>
      </c>
      <c r="C185" s="10" t="inlineStr">
        <is>
          <t>Day 7 blastocyst (E3, euploid)</t>
        </is>
      </c>
      <c r="D185" s="10" t="inlineStr">
        <is>
          <t>TE biopsy (3–5 cells)</t>
        </is>
      </c>
      <c r="E185" s="10" t="inlineStr">
        <is>
          <t>Hu 2026 JARG</t>
        </is>
      </c>
      <c r="F185" s="10" t="inlineStr">
        <is>
          <t>10.1007/s10815-026-04041-7</t>
        </is>
      </c>
      <c r="I185" t="inlineStr">
        <is>
          <t>0 = ниже порога 1,0%</t>
        </is>
      </c>
    </row>
    <row r="186">
      <c r="A186" s="10" t="inlineStr">
        <is>
          <t>m.3250T&gt;C</t>
        </is>
      </c>
      <c r="B186" s="10" t="n">
        <v>0</v>
      </c>
      <c r="C186" s="10" t="inlineStr">
        <is>
          <t>Day 6 blastocyst (E4, aneuploid)</t>
        </is>
      </c>
      <c r="D186" s="10" t="inlineStr">
        <is>
          <t>TE biopsy (3–5 cells)</t>
        </is>
      </c>
      <c r="E186" s="10" t="inlineStr">
        <is>
          <t>Hu 2026 JARG</t>
        </is>
      </c>
      <c r="F186" s="10" t="inlineStr">
        <is>
          <t>10.1007/s10815-026-04041-7</t>
        </is>
      </c>
      <c r="I186" t="inlineStr">
        <is>
          <t>0 = ниже порога 1,0%</t>
        </is>
      </c>
    </row>
    <row r="187">
      <c r="A187" s="10" t="inlineStr">
        <is>
          <t>m.3250T&gt;C</t>
        </is>
      </c>
      <c r="B187" s="10" t="n">
        <v>0</v>
      </c>
      <c r="C187" s="10" t="inlineStr">
        <is>
          <t>Day 7 blastocyst (E5, mosaic)</t>
        </is>
      </c>
      <c r="D187" s="10" t="inlineStr">
        <is>
          <t>TE biopsy (3–5 cells)</t>
        </is>
      </c>
      <c r="E187" s="10" t="inlineStr">
        <is>
          <t>Hu 2026 JARG</t>
        </is>
      </c>
      <c r="F187" s="10" t="inlineStr">
        <is>
          <t>10.1007/s10815-026-04041-7</t>
        </is>
      </c>
      <c r="I187" t="inlineStr">
        <is>
          <t>0 = ниже порога 1,0%</t>
        </is>
      </c>
    </row>
    <row r="188">
      <c r="A188" s="10" t="inlineStr">
        <is>
          <t>m.3250T&gt;C</t>
        </is>
      </c>
      <c r="B188" s="10" t="n">
        <v>1.8</v>
      </c>
      <c r="C188" s="10" t="inlineStr">
        <is>
          <t>Day 6 blastocyst (E6, euploid, transferred)</t>
        </is>
      </c>
      <c r="D188" s="10" t="inlineStr">
        <is>
          <t>TE biopsy (3–5 cells)</t>
        </is>
      </c>
      <c r="E188" s="10" t="inlineStr">
        <is>
          <t>Hu 2026 JARG</t>
        </is>
      </c>
      <c r="F188" s="10" t="inlineStr">
        <is>
          <t>10.1007/s10815-026-04041-7</t>
        </is>
      </c>
    </row>
    <row r="189">
      <c r="A189" s="10" t="inlineStr">
        <is>
          <t>m.3250T&gt;C</t>
        </is>
      </c>
      <c r="B189" s="10" t="n">
        <v>0</v>
      </c>
      <c r="C189" s="10" t="inlineStr">
        <is>
          <t>Day 5 arrested embryo (E7)</t>
        </is>
      </c>
      <c r="D189" s="10" t="inlineStr">
        <is>
          <t>whole embryo</t>
        </is>
      </c>
      <c r="E189" s="10" t="inlineStr">
        <is>
          <t>Hu 2026 JARG</t>
        </is>
      </c>
      <c r="F189" s="10" t="inlineStr">
        <is>
          <t>10.1007/s10815-026-04041-7</t>
        </is>
      </c>
      <c r="I189" t="inlineStr">
        <is>
          <t>0 = ниже порога 1,0%</t>
        </is>
      </c>
    </row>
    <row r="190">
      <c r="A190" s="10" t="inlineStr">
        <is>
          <t>m.3250T&gt;C</t>
        </is>
      </c>
      <c r="B190" s="10" t="n">
        <v>8.1</v>
      </c>
      <c r="C190" s="10" t="inlineStr">
        <is>
          <t>Day 6 blastocyst (E8, euploid)</t>
        </is>
      </c>
      <c r="D190" s="10" t="inlineStr">
        <is>
          <t>TE biopsy (3–5 cells)</t>
        </is>
      </c>
      <c r="E190" s="10" t="inlineStr">
        <is>
          <t>Hu 2026 JARG</t>
        </is>
      </c>
      <c r="F190" s="10" t="inlineStr">
        <is>
          <t>10.1007/s10815-026-04041-7</t>
        </is>
      </c>
    </row>
  </sheetData>
  <mergeCells count="2">
    <mergeCell ref="A1:I1"/>
    <mergeCell ref="A2:I2"/>
  </mergeCell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375623"/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32" min="1" max="2"/>
    <col width="16.75" customWidth="1" style="32" min="3" max="4"/>
    <col width="20" customWidth="1" style="32" min="5" max="5"/>
    <col width="8.630000000000001" customWidth="1" style="32" min="6" max="26"/>
  </cols>
  <sheetData>
    <row r="1" ht="21.75" customHeight="1" s="32">
      <c r="A1" s="35" t="inlineStr">
        <is>
          <t>Рисунок 4 — Однородность гетероплазмии внутри эмбриона (панели А и Б: 40 бластоцист; панель В: те же 40 бластоцист + 22 эмбриона стадии дробления, лист «Бластомеры (дробление)»)</t>
        </is>
      </c>
    </row>
    <row r="2" ht="33.75" customHeight="1" s="32">
      <c r="A2" s="34" t="inlineStr">
        <is>
          <t>Панель А: Парные значения гетероплазмии для каждой фракции эмбриона (биоптат ТЭ, ВКМ, оставшаяся ТЭ). Каждый эмбрион присутствует несколько раз — по одной строке на фракцию.</t>
        </is>
      </c>
    </row>
    <row r="3" ht="30" customHeight="1" s="32">
      <c r="A3" s="8" t="inlineStr">
        <is>
          <t>Эмбрион</t>
        </is>
      </c>
      <c r="B3" s="8" t="inlineStr">
        <is>
          <t>Источник</t>
        </is>
      </c>
      <c r="C3" s="8" t="inlineStr">
        <is>
          <t>Вариант мтДНК</t>
        </is>
      </c>
      <c r="D3" s="8" t="inlineStr">
        <is>
          <t>Фракция</t>
        </is>
      </c>
      <c r="E3" s="8" t="inlineStr">
        <is>
          <t>Гетероплазмия, %</t>
        </is>
      </c>
    </row>
    <row r="4">
      <c r="A4" s="10" t="inlineStr">
        <is>
          <t>Janssen2024_F20_E45</t>
        </is>
      </c>
      <c r="B4" s="10" t="inlineStr">
        <is>
          <t>Janssen et al. 2024</t>
        </is>
      </c>
      <c r="C4" s="10" t="inlineStr">
        <is>
          <t>m.3243A&gt;G</t>
        </is>
      </c>
      <c r="D4" s="10" t="inlineStr">
        <is>
          <t>Биоптат ТЭ</t>
        </is>
      </c>
      <c r="E4" s="10" t="n">
        <v>49.6</v>
      </c>
    </row>
    <row r="5">
      <c r="A5" s="12" t="inlineStr">
        <is>
          <t>Janssen2024_F20_E45</t>
        </is>
      </c>
      <c r="B5" s="12" t="inlineStr">
        <is>
          <t>Janssen et al. 2024</t>
        </is>
      </c>
      <c r="C5" s="12" t="inlineStr">
        <is>
          <t>m.3243A&gt;G</t>
        </is>
      </c>
      <c r="D5" s="12" t="inlineStr">
        <is>
          <t>Оставшаяся ТЭ</t>
        </is>
      </c>
      <c r="E5" s="12" t="n">
        <v>49.5</v>
      </c>
    </row>
    <row r="6">
      <c r="A6" s="10" t="inlineStr">
        <is>
          <t>Janssen2024_F20_E46</t>
        </is>
      </c>
      <c r="B6" s="10" t="inlineStr">
        <is>
          <t>Janssen et al. 2024</t>
        </is>
      </c>
      <c r="C6" s="10" t="inlineStr">
        <is>
          <t>m.3243A&gt;G</t>
        </is>
      </c>
      <c r="D6" s="10" t="inlineStr">
        <is>
          <t>Биоптат ТЭ</t>
        </is>
      </c>
      <c r="E6" s="10" t="n">
        <v>67.09999999999999</v>
      </c>
    </row>
    <row r="7">
      <c r="A7" s="12" t="inlineStr">
        <is>
          <t>Janssen2024_F20_E46</t>
        </is>
      </c>
      <c r="B7" s="12" t="inlineStr">
        <is>
          <t>Janssen et al. 2024</t>
        </is>
      </c>
      <c r="C7" s="12" t="inlineStr">
        <is>
          <t>m.3243A&gt;G</t>
        </is>
      </c>
      <c r="D7" s="12" t="inlineStr">
        <is>
          <t>Оставшаяся ТЭ</t>
        </is>
      </c>
      <c r="E7" s="12" t="n">
        <v>67.7</v>
      </c>
    </row>
    <row r="8">
      <c r="A8" s="10" t="inlineStr">
        <is>
          <t>Janssen2024_F20_E47</t>
        </is>
      </c>
      <c r="B8" s="10" t="inlineStr">
        <is>
          <t>Janssen et al. 2024</t>
        </is>
      </c>
      <c r="C8" s="10" t="inlineStr">
        <is>
          <t>m.3243A&gt;G</t>
        </is>
      </c>
      <c r="D8" s="10" t="inlineStr">
        <is>
          <t>Биоптат ТЭ</t>
        </is>
      </c>
      <c r="E8" s="10" t="n">
        <v>75.59999999999999</v>
      </c>
    </row>
    <row r="9">
      <c r="A9" s="12" t="inlineStr">
        <is>
          <t>Janssen2024_F20_E47</t>
        </is>
      </c>
      <c r="B9" s="12" t="inlineStr">
        <is>
          <t>Janssen et al. 2024</t>
        </is>
      </c>
      <c r="C9" s="12" t="inlineStr">
        <is>
          <t>m.3243A&gt;G</t>
        </is>
      </c>
      <c r="D9" s="12" t="inlineStr">
        <is>
          <t>Оставшаяся ТЭ</t>
        </is>
      </c>
      <c r="E9" s="12" t="n">
        <v>76.3</v>
      </c>
    </row>
    <row r="10">
      <c r="A10" s="10" t="inlineStr">
        <is>
          <t>Janssen2024_F20_E48</t>
        </is>
      </c>
      <c r="B10" s="10" t="inlineStr">
        <is>
          <t>Janssen et al. 2024</t>
        </is>
      </c>
      <c r="C10" s="10" t="inlineStr">
        <is>
          <t>m.3243A&gt;G</t>
        </is>
      </c>
      <c r="D10" s="10" t="inlineStr">
        <is>
          <t>Биоптат ТЭ</t>
        </is>
      </c>
      <c r="E10" s="10" t="n">
        <v>40.8</v>
      </c>
    </row>
    <row r="11">
      <c r="A11" s="12" t="inlineStr">
        <is>
          <t>Janssen2024_F20_E48</t>
        </is>
      </c>
      <c r="B11" s="12" t="inlineStr">
        <is>
          <t>Janssen et al. 2024</t>
        </is>
      </c>
      <c r="C11" s="12" t="inlineStr">
        <is>
          <t>m.3243A&gt;G</t>
        </is>
      </c>
      <c r="D11" s="12" t="inlineStr">
        <is>
          <t>Оставшаяся ТЭ</t>
        </is>
      </c>
      <c r="E11" s="12" t="n">
        <v>38.6</v>
      </c>
    </row>
    <row r="12">
      <c r="A12" s="10" t="inlineStr">
        <is>
          <t>Rubens_113</t>
        </is>
      </c>
      <c r="B12" s="10" t="inlineStr">
        <is>
          <t>Rubens et al. 2025</t>
        </is>
      </c>
      <c r="C12" s="10" t="inlineStr">
        <is>
          <t>HV2 polymorphism</t>
        </is>
      </c>
      <c r="D12" s="10" t="inlineStr">
        <is>
          <t>Биоптат ТЭ</t>
        </is>
      </c>
      <c r="E12" s="10" t="n">
        <v>85</v>
      </c>
    </row>
    <row r="13">
      <c r="A13" s="12" t="inlineStr">
        <is>
          <t>Rubens_113</t>
        </is>
      </c>
      <c r="B13" s="12" t="inlineStr">
        <is>
          <t>Rubens et al. 2025</t>
        </is>
      </c>
      <c r="C13" s="12" t="inlineStr">
        <is>
          <t>HV2 polymorphism</t>
        </is>
      </c>
      <c r="D13" s="12" t="inlineStr">
        <is>
          <t>Оставшаяся ТЭ</t>
        </is>
      </c>
      <c r="E13" s="12" t="n">
        <v>84</v>
      </c>
    </row>
    <row r="14">
      <c r="A14" s="10" t="inlineStr">
        <is>
          <t>Rubens_114</t>
        </is>
      </c>
      <c r="B14" s="10" t="inlineStr">
        <is>
          <t>Rubens et al. 2025</t>
        </is>
      </c>
      <c r="C14" s="10" t="inlineStr">
        <is>
          <t>HV2 polymorphism</t>
        </is>
      </c>
      <c r="D14" s="10" t="inlineStr">
        <is>
          <t>Биоптат ТЭ</t>
        </is>
      </c>
      <c r="E14" s="10" t="n">
        <v>82</v>
      </c>
    </row>
    <row r="15">
      <c r="A15" s="12" t="inlineStr">
        <is>
          <t>Rubens_114</t>
        </is>
      </c>
      <c r="B15" s="12" t="inlineStr">
        <is>
          <t>Rubens et al. 2025</t>
        </is>
      </c>
      <c r="C15" s="12" t="inlineStr">
        <is>
          <t>HV2 polymorphism</t>
        </is>
      </c>
      <c r="D15" s="12" t="inlineStr">
        <is>
          <t>Оставшаяся ТЭ</t>
        </is>
      </c>
      <c r="E15" s="12" t="n">
        <v>86</v>
      </c>
    </row>
    <row r="16">
      <c r="A16" s="10" t="inlineStr">
        <is>
          <t>Rubens_115</t>
        </is>
      </c>
      <c r="B16" s="10" t="inlineStr">
        <is>
          <t>Rubens et al. 2025</t>
        </is>
      </c>
      <c r="C16" s="10" t="inlineStr">
        <is>
          <t>HV2 polymorphism</t>
        </is>
      </c>
      <c r="D16" s="10" t="inlineStr">
        <is>
          <t>Биоптат ТЭ</t>
        </is>
      </c>
      <c r="E16" s="10" t="n">
        <v>95</v>
      </c>
    </row>
    <row r="17">
      <c r="A17" s="12" t="inlineStr">
        <is>
          <t>Rubens_115</t>
        </is>
      </c>
      <c r="B17" s="12" t="inlineStr">
        <is>
          <t>Rubens et al. 2025</t>
        </is>
      </c>
      <c r="C17" s="12" t="inlineStr">
        <is>
          <t>HV2 polymorphism</t>
        </is>
      </c>
      <c r="D17" s="12" t="inlineStr">
        <is>
          <t>Оставшаяся ТЭ</t>
        </is>
      </c>
      <c r="E17" s="12" t="n">
        <v>96</v>
      </c>
    </row>
    <row r="18">
      <c r="A18" s="10" t="inlineStr">
        <is>
          <t>Rubens_116</t>
        </is>
      </c>
      <c r="B18" s="10" t="inlineStr">
        <is>
          <t>Rubens et al. 2025</t>
        </is>
      </c>
      <c r="C18" s="10" t="inlineStr">
        <is>
          <t>HV2 polymorphism</t>
        </is>
      </c>
      <c r="D18" s="10" t="inlineStr">
        <is>
          <t>Биоптат ТЭ</t>
        </is>
      </c>
      <c r="E18" s="10" t="n">
        <v>91</v>
      </c>
    </row>
    <row r="19">
      <c r="A19" s="12" t="inlineStr">
        <is>
          <t>Rubens_116</t>
        </is>
      </c>
      <c r="B19" s="12" t="inlineStr">
        <is>
          <t>Rubens et al. 2025</t>
        </is>
      </c>
      <c r="C19" s="12" t="inlineStr">
        <is>
          <t>HV2 polymorphism</t>
        </is>
      </c>
      <c r="D19" s="12" t="inlineStr">
        <is>
          <t>ВКМ</t>
        </is>
      </c>
      <c r="E19" s="12" t="n">
        <v>91</v>
      </c>
    </row>
    <row r="20">
      <c r="A20" s="10" t="inlineStr">
        <is>
          <t>Rubens_116</t>
        </is>
      </c>
      <c r="B20" s="10" t="inlineStr">
        <is>
          <t>Rubens et al. 2025</t>
        </is>
      </c>
      <c r="C20" s="10" t="inlineStr">
        <is>
          <t>HV2 polymorphism</t>
        </is>
      </c>
      <c r="D20" s="10" t="inlineStr">
        <is>
          <t>Оставшаяся ТЭ</t>
        </is>
      </c>
      <c r="E20" s="10" t="n">
        <v>88</v>
      </c>
    </row>
    <row r="21" ht="15.75" customHeight="1" s="32">
      <c r="A21" s="12" t="inlineStr">
        <is>
          <t>Rubens_117</t>
        </is>
      </c>
      <c r="B21" s="12" t="inlineStr">
        <is>
          <t>Rubens et al. 2025</t>
        </is>
      </c>
      <c r="C21" s="12" t="inlineStr">
        <is>
          <t>HV2 polymorphism</t>
        </is>
      </c>
      <c r="D21" s="12" t="inlineStr">
        <is>
          <t>Биоптат ТЭ</t>
        </is>
      </c>
      <c r="E21" s="12" t="n">
        <v>54</v>
      </c>
    </row>
    <row r="22" ht="15.75" customHeight="1" s="32">
      <c r="A22" s="10" t="inlineStr">
        <is>
          <t>Rubens_117</t>
        </is>
      </c>
      <c r="B22" s="10" t="inlineStr">
        <is>
          <t>Rubens et al. 2025</t>
        </is>
      </c>
      <c r="C22" s="10" t="inlineStr">
        <is>
          <t>HV2 polymorphism</t>
        </is>
      </c>
      <c r="D22" s="10" t="inlineStr">
        <is>
          <t>ВКМ</t>
        </is>
      </c>
      <c r="E22" s="10" t="n">
        <v>53</v>
      </c>
    </row>
    <row r="23" ht="15.75" customHeight="1" s="32">
      <c r="A23" s="12" t="inlineStr">
        <is>
          <t>Rubens_117</t>
        </is>
      </c>
      <c r="B23" s="12" t="inlineStr">
        <is>
          <t>Rubens et al. 2025</t>
        </is>
      </c>
      <c r="C23" s="12" t="inlineStr">
        <is>
          <t>HV2 polymorphism</t>
        </is>
      </c>
      <c r="D23" s="12" t="inlineStr">
        <is>
          <t>Оставшаяся ТЭ</t>
        </is>
      </c>
      <c r="E23" s="12" t="n">
        <v>56</v>
      </c>
    </row>
    <row r="24" ht="15.75" customHeight="1" s="32">
      <c r="A24" s="10" t="inlineStr">
        <is>
          <t>Rubens_118</t>
        </is>
      </c>
      <c r="B24" s="10" t="inlineStr">
        <is>
          <t>Rubens et al. 2025</t>
        </is>
      </c>
      <c r="C24" s="10" t="inlineStr">
        <is>
          <t>HV2 polymorphism</t>
        </is>
      </c>
      <c r="D24" s="10" t="inlineStr">
        <is>
          <t>Биоптат ТЭ</t>
        </is>
      </c>
      <c r="E24" s="10" t="n">
        <v>83</v>
      </c>
    </row>
    <row r="25" ht="15.75" customHeight="1" s="32">
      <c r="A25" s="12" t="inlineStr">
        <is>
          <t>Rubens_118</t>
        </is>
      </c>
      <c r="B25" s="12" t="inlineStr">
        <is>
          <t>Rubens et al. 2025</t>
        </is>
      </c>
      <c r="C25" s="12" t="inlineStr">
        <is>
          <t>HV2 polymorphism</t>
        </is>
      </c>
      <c r="D25" s="12" t="inlineStr">
        <is>
          <t>Оставшаяся ТЭ</t>
        </is>
      </c>
      <c r="E25" s="12" t="n">
        <v>82</v>
      </c>
    </row>
    <row r="26" ht="15.75" customHeight="1" s="32">
      <c r="A26" s="10" t="inlineStr">
        <is>
          <t>Rubens_120</t>
        </is>
      </c>
      <c r="B26" s="10" t="inlineStr">
        <is>
          <t>Rubens et al. 2025</t>
        </is>
      </c>
      <c r="C26" s="10" t="inlineStr">
        <is>
          <t>HV2 polymorphism</t>
        </is>
      </c>
      <c r="D26" s="10" t="inlineStr">
        <is>
          <t>Биоптат ТЭ</t>
        </is>
      </c>
      <c r="E26" s="10" t="n">
        <v>93</v>
      </c>
    </row>
    <row r="27" ht="15.75" customHeight="1" s="32">
      <c r="A27" s="12" t="inlineStr">
        <is>
          <t>Rubens_120</t>
        </is>
      </c>
      <c r="B27" s="12" t="inlineStr">
        <is>
          <t>Rubens et al. 2025</t>
        </is>
      </c>
      <c r="C27" s="12" t="inlineStr">
        <is>
          <t>HV2 polymorphism</t>
        </is>
      </c>
      <c r="D27" s="12" t="inlineStr">
        <is>
          <t>ВКМ</t>
        </is>
      </c>
      <c r="E27" s="12" t="n">
        <v>100</v>
      </c>
    </row>
    <row r="28" ht="15.75" customHeight="1" s="32">
      <c r="A28" s="10" t="inlineStr">
        <is>
          <t>Rubens_120</t>
        </is>
      </c>
      <c r="B28" s="10" t="inlineStr">
        <is>
          <t>Rubens et al. 2025</t>
        </is>
      </c>
      <c r="C28" s="10" t="inlineStr">
        <is>
          <t>HV2 polymorphism</t>
        </is>
      </c>
      <c r="D28" s="10" t="inlineStr">
        <is>
          <t>Оставшаяся ТЭ</t>
        </is>
      </c>
      <c r="E28" s="10" t="n">
        <v>93</v>
      </c>
    </row>
    <row r="29" ht="15.75" customHeight="1" s="32">
      <c r="A29" s="12" t="inlineStr">
        <is>
          <t>Rubens_123</t>
        </is>
      </c>
      <c r="B29" s="12" t="inlineStr">
        <is>
          <t>Rubens et al. 2025</t>
        </is>
      </c>
      <c r="C29" s="12" t="inlineStr">
        <is>
          <t>HV2 polymorphism</t>
        </is>
      </c>
      <c r="D29" s="12" t="inlineStr">
        <is>
          <t>Биоптат ТЭ</t>
        </is>
      </c>
      <c r="E29" s="12" t="n">
        <v>90</v>
      </c>
    </row>
    <row r="30" ht="15.75" customHeight="1" s="32">
      <c r="A30" s="10" t="inlineStr">
        <is>
          <t>Rubens_123</t>
        </is>
      </c>
      <c r="B30" s="10" t="inlineStr">
        <is>
          <t>Rubens et al. 2025</t>
        </is>
      </c>
      <c r="C30" s="10" t="inlineStr">
        <is>
          <t>HV2 polymorphism</t>
        </is>
      </c>
      <c r="D30" s="10" t="inlineStr">
        <is>
          <t>ВКМ</t>
        </is>
      </c>
      <c r="E30" s="10" t="n">
        <v>90</v>
      </c>
    </row>
    <row r="31" ht="15.75" customHeight="1" s="32">
      <c r="A31" s="12" t="inlineStr">
        <is>
          <t>Rubens_123</t>
        </is>
      </c>
      <c r="B31" s="12" t="inlineStr">
        <is>
          <t>Rubens et al. 2025</t>
        </is>
      </c>
      <c r="C31" s="12" t="inlineStr">
        <is>
          <t>HV2 polymorphism</t>
        </is>
      </c>
      <c r="D31" s="12" t="inlineStr">
        <is>
          <t>Оставшаяся ТЭ</t>
        </is>
      </c>
      <c r="E31" s="12" t="n">
        <v>88</v>
      </c>
    </row>
    <row r="32" ht="15.75" customHeight="1" s="32">
      <c r="A32" s="10" t="inlineStr">
        <is>
          <t>Rubens_125</t>
        </is>
      </c>
      <c r="B32" s="10" t="inlineStr">
        <is>
          <t>Rubens et al. 2025</t>
        </is>
      </c>
      <c r="C32" s="10" t="inlineStr">
        <is>
          <t>HV2 polymorphism</t>
        </is>
      </c>
      <c r="D32" s="10" t="inlineStr">
        <is>
          <t>Биоптат ТЭ</t>
        </is>
      </c>
      <c r="E32" s="10" t="n">
        <v>94</v>
      </c>
    </row>
    <row r="33" ht="15.75" customHeight="1" s="32">
      <c r="A33" s="12" t="inlineStr">
        <is>
          <t>Rubens_125</t>
        </is>
      </c>
      <c r="B33" s="12" t="inlineStr">
        <is>
          <t>Rubens et al. 2025</t>
        </is>
      </c>
      <c r="C33" s="12" t="inlineStr">
        <is>
          <t>HV2 polymorphism</t>
        </is>
      </c>
      <c r="D33" s="12" t="inlineStr">
        <is>
          <t>Оставшаяся ТЭ</t>
        </is>
      </c>
      <c r="E33" s="12" t="n">
        <v>93</v>
      </c>
    </row>
    <row r="34" ht="15.75" customHeight="1" s="32">
      <c r="A34" s="10" t="inlineStr">
        <is>
          <t>Rubens_126</t>
        </is>
      </c>
      <c r="B34" s="10" t="inlineStr">
        <is>
          <t>Rubens et al. 2025</t>
        </is>
      </c>
      <c r="C34" s="10" t="inlineStr">
        <is>
          <t>HV2 polymorphism</t>
        </is>
      </c>
      <c r="D34" s="10" t="inlineStr">
        <is>
          <t>Биоптат ТЭ</t>
        </is>
      </c>
      <c r="E34" s="10" t="n">
        <v>95</v>
      </c>
    </row>
    <row r="35" ht="15.75" customHeight="1" s="32">
      <c r="A35" s="12" t="inlineStr">
        <is>
          <t>Rubens_126</t>
        </is>
      </c>
      <c r="B35" s="12" t="inlineStr">
        <is>
          <t>Rubens et al. 2025</t>
        </is>
      </c>
      <c r="C35" s="12" t="inlineStr">
        <is>
          <t>HV2 polymorphism</t>
        </is>
      </c>
      <c r="D35" s="12" t="inlineStr">
        <is>
          <t>Оставшаяся ТЭ</t>
        </is>
      </c>
      <c r="E35" s="12" t="n">
        <v>94</v>
      </c>
    </row>
    <row r="36" ht="15.75" customHeight="1" s="32">
      <c r="A36" s="10" t="inlineStr">
        <is>
          <t>Rubens_127</t>
        </is>
      </c>
      <c r="B36" s="10" t="inlineStr">
        <is>
          <t>Rubens et al. 2025</t>
        </is>
      </c>
      <c r="C36" s="10" t="inlineStr">
        <is>
          <t>HV2 polymorphism</t>
        </is>
      </c>
      <c r="D36" s="10" t="inlineStr">
        <is>
          <t>Биоптат ТЭ</t>
        </is>
      </c>
      <c r="E36" s="10" t="n">
        <v>100</v>
      </c>
    </row>
    <row r="37" ht="15.75" customHeight="1" s="32">
      <c r="A37" s="12" t="inlineStr">
        <is>
          <t>Rubens_127</t>
        </is>
      </c>
      <c r="B37" s="12" t="inlineStr">
        <is>
          <t>Rubens et al. 2025</t>
        </is>
      </c>
      <c r="C37" s="12" t="inlineStr">
        <is>
          <t>HV2 polymorphism</t>
        </is>
      </c>
      <c r="D37" s="12" t="inlineStr">
        <is>
          <t>Оставшаяся ТЭ</t>
        </is>
      </c>
      <c r="E37" s="12" t="n">
        <v>100</v>
      </c>
    </row>
    <row r="38" ht="15.75" customHeight="1" s="32">
      <c r="A38" s="10" t="inlineStr">
        <is>
          <t>Rubens_128</t>
        </is>
      </c>
      <c r="B38" s="10" t="inlineStr">
        <is>
          <t>Rubens et al. 2025</t>
        </is>
      </c>
      <c r="C38" s="10" t="inlineStr">
        <is>
          <t>HV2 polymorphism</t>
        </is>
      </c>
      <c r="D38" s="10" t="inlineStr">
        <is>
          <t>Биоптат ТЭ</t>
        </is>
      </c>
      <c r="E38" s="10" t="n">
        <v>100</v>
      </c>
    </row>
    <row r="39" ht="15.75" customHeight="1" s="32">
      <c r="A39" s="12" t="inlineStr">
        <is>
          <t>Rubens_128</t>
        </is>
      </c>
      <c r="B39" s="12" t="inlineStr">
        <is>
          <t>Rubens et al. 2025</t>
        </is>
      </c>
      <c r="C39" s="12" t="inlineStr">
        <is>
          <t>HV2 polymorphism</t>
        </is>
      </c>
      <c r="D39" s="12" t="inlineStr">
        <is>
          <t>ВКМ</t>
        </is>
      </c>
      <c r="E39" s="12" t="n">
        <v>100</v>
      </c>
    </row>
    <row r="40" ht="15.75" customHeight="1" s="32">
      <c r="A40" s="10" t="inlineStr">
        <is>
          <t>Rubens_128</t>
        </is>
      </c>
      <c r="B40" s="10" t="inlineStr">
        <is>
          <t>Rubens et al. 2025</t>
        </is>
      </c>
      <c r="C40" s="10" t="inlineStr">
        <is>
          <t>HV2 polymorphism</t>
        </is>
      </c>
      <c r="D40" s="10" t="inlineStr">
        <is>
          <t>Оставшаяся ТЭ</t>
        </is>
      </c>
      <c r="E40" s="10" t="n">
        <v>100</v>
      </c>
    </row>
    <row r="41" ht="15.75" customHeight="1" s="32">
      <c r="A41" s="12" t="inlineStr">
        <is>
          <t>Rubens_129</t>
        </is>
      </c>
      <c r="B41" s="12" t="inlineStr">
        <is>
          <t>Rubens et al. 2025</t>
        </is>
      </c>
      <c r="C41" s="12" t="inlineStr">
        <is>
          <t>HV2 polymorphism</t>
        </is>
      </c>
      <c r="D41" s="12" t="inlineStr">
        <is>
          <t>Биоптат ТЭ</t>
        </is>
      </c>
      <c r="E41" s="12" t="n">
        <v>100</v>
      </c>
    </row>
    <row r="42" ht="15.75" customHeight="1" s="32">
      <c r="A42" s="10" t="inlineStr">
        <is>
          <t>Rubens_129</t>
        </is>
      </c>
      <c r="B42" s="10" t="inlineStr">
        <is>
          <t>Rubens et al. 2025</t>
        </is>
      </c>
      <c r="C42" s="10" t="inlineStr">
        <is>
          <t>HV2 polymorphism</t>
        </is>
      </c>
      <c r="D42" s="10" t="inlineStr">
        <is>
          <t>Оставшаяся ТЭ</t>
        </is>
      </c>
      <c r="E42" s="10" t="n">
        <v>100</v>
      </c>
    </row>
    <row r="43" ht="15.75" customHeight="1" s="32">
      <c r="A43" s="12" t="inlineStr">
        <is>
          <t>Rubens_130</t>
        </is>
      </c>
      <c r="B43" s="12" t="inlineStr">
        <is>
          <t>Rubens et al. 2025</t>
        </is>
      </c>
      <c r="C43" s="12" t="inlineStr">
        <is>
          <t>HV2 polymorphism</t>
        </is>
      </c>
      <c r="D43" s="12" t="inlineStr">
        <is>
          <t>Биоптат ТЭ</t>
        </is>
      </c>
      <c r="E43" s="12" t="n">
        <v>100</v>
      </c>
    </row>
    <row r="44" ht="15.75" customHeight="1" s="32">
      <c r="A44" s="10" t="inlineStr">
        <is>
          <t>Rubens_130</t>
        </is>
      </c>
      <c r="B44" s="10" t="inlineStr">
        <is>
          <t>Rubens et al. 2025</t>
        </is>
      </c>
      <c r="C44" s="10" t="inlineStr">
        <is>
          <t>HV2 polymorphism</t>
        </is>
      </c>
      <c r="D44" s="10" t="inlineStr">
        <is>
          <t>Оставшаяся ТЭ</t>
        </is>
      </c>
      <c r="E44" s="10" t="n">
        <v>100</v>
      </c>
    </row>
    <row r="45" ht="15.75" customHeight="1" s="32">
      <c r="A45" s="12" t="inlineStr">
        <is>
          <t>Rubens_131</t>
        </is>
      </c>
      <c r="B45" s="12" t="inlineStr">
        <is>
          <t>Rubens et al. 2025</t>
        </is>
      </c>
      <c r="C45" s="12" t="inlineStr">
        <is>
          <t>HV2 polymorphism</t>
        </is>
      </c>
      <c r="D45" s="12" t="inlineStr">
        <is>
          <t>Биоптат ТЭ</t>
        </is>
      </c>
      <c r="E45" s="12" t="n">
        <v>100</v>
      </c>
    </row>
    <row r="46" ht="15.75" customHeight="1" s="32">
      <c r="A46" s="10" t="inlineStr">
        <is>
          <t>Rubens_131</t>
        </is>
      </c>
      <c r="B46" s="10" t="inlineStr">
        <is>
          <t>Rubens et al. 2025</t>
        </is>
      </c>
      <c r="C46" s="10" t="inlineStr">
        <is>
          <t>HV2 polymorphism</t>
        </is>
      </c>
      <c r="D46" s="10" t="inlineStr">
        <is>
          <t>ВКМ</t>
        </is>
      </c>
      <c r="E46" s="10" t="n">
        <v>100</v>
      </c>
    </row>
    <row r="47" ht="15.75" customHeight="1" s="32">
      <c r="A47" s="12" t="inlineStr">
        <is>
          <t>Rubens_131</t>
        </is>
      </c>
      <c r="B47" s="12" t="inlineStr">
        <is>
          <t>Rubens et al. 2025</t>
        </is>
      </c>
      <c r="C47" s="12" t="inlineStr">
        <is>
          <t>HV2 polymorphism</t>
        </is>
      </c>
      <c r="D47" s="12" t="inlineStr">
        <is>
          <t>Оставшаяся ТЭ</t>
        </is>
      </c>
      <c r="E47" s="12" t="n">
        <v>100</v>
      </c>
    </row>
    <row r="48" ht="15.75" customHeight="1" s="32">
      <c r="A48" s="10" t="inlineStr">
        <is>
          <t>Rubens_132</t>
        </is>
      </c>
      <c r="B48" s="10" t="inlineStr">
        <is>
          <t>Rubens et al. 2025</t>
        </is>
      </c>
      <c r="C48" s="10" t="inlineStr">
        <is>
          <t>HV2 polymorphism</t>
        </is>
      </c>
      <c r="D48" s="10" t="inlineStr">
        <is>
          <t>Биоптат ТЭ</t>
        </is>
      </c>
      <c r="E48" s="10" t="n">
        <v>100</v>
      </c>
    </row>
    <row r="49" ht="15.75" customHeight="1" s="32">
      <c r="A49" s="12" t="inlineStr">
        <is>
          <t>Rubens_132</t>
        </is>
      </c>
      <c r="B49" s="12" t="inlineStr">
        <is>
          <t>Rubens et al. 2025</t>
        </is>
      </c>
      <c r="C49" s="12" t="inlineStr">
        <is>
          <t>HV2 polymorphism</t>
        </is>
      </c>
      <c r="D49" s="12" t="inlineStr">
        <is>
          <t>ВКМ</t>
        </is>
      </c>
      <c r="E49" s="12" t="n">
        <v>100</v>
      </c>
    </row>
    <row r="50" ht="15.75" customHeight="1" s="32">
      <c r="A50" s="10" t="inlineStr">
        <is>
          <t>Rubens_132</t>
        </is>
      </c>
      <c r="B50" s="10" t="inlineStr">
        <is>
          <t>Rubens et al. 2025</t>
        </is>
      </c>
      <c r="C50" s="10" t="inlineStr">
        <is>
          <t>HV2 polymorphism</t>
        </is>
      </c>
      <c r="D50" s="10" t="inlineStr">
        <is>
          <t>Оставшаяся ТЭ</t>
        </is>
      </c>
      <c r="E50" s="10" t="n">
        <v>100</v>
      </c>
    </row>
    <row r="51" ht="15.75" customHeight="1" s="32">
      <c r="A51" s="12" t="inlineStr">
        <is>
          <t>Rubens_134</t>
        </is>
      </c>
      <c r="B51" s="12" t="inlineStr">
        <is>
          <t>Rubens et al. 2025</t>
        </is>
      </c>
      <c r="C51" s="12" t="inlineStr">
        <is>
          <t>HV2 polymorphism</t>
        </is>
      </c>
      <c r="D51" s="12" t="inlineStr">
        <is>
          <t>Биоптат ТЭ</t>
        </is>
      </c>
      <c r="E51" s="12" t="n">
        <v>100</v>
      </c>
    </row>
    <row r="52" ht="15.75" customHeight="1" s="32">
      <c r="A52" s="10" t="inlineStr">
        <is>
          <t>Rubens_134</t>
        </is>
      </c>
      <c r="B52" s="10" t="inlineStr">
        <is>
          <t>Rubens et al. 2025</t>
        </is>
      </c>
      <c r="C52" s="10" t="inlineStr">
        <is>
          <t>HV2 polymorphism</t>
        </is>
      </c>
      <c r="D52" s="10" t="inlineStr">
        <is>
          <t>Оставшаяся ТЭ</t>
        </is>
      </c>
      <c r="E52" s="10" t="n">
        <v>100</v>
      </c>
    </row>
    <row r="53" ht="15.75" customHeight="1" s="32">
      <c r="A53" s="12" t="inlineStr">
        <is>
          <t>Rubens_135</t>
        </is>
      </c>
      <c r="B53" s="12" t="inlineStr">
        <is>
          <t>Rubens et al. 2025</t>
        </is>
      </c>
      <c r="C53" s="12" t="inlineStr">
        <is>
          <t>HV2 polymorphism</t>
        </is>
      </c>
      <c r="D53" s="12" t="inlineStr">
        <is>
          <t>Биоптат ТЭ</t>
        </is>
      </c>
      <c r="E53" s="12" t="n">
        <v>100</v>
      </c>
    </row>
    <row r="54" ht="15.75" customHeight="1" s="32">
      <c r="A54" s="10" t="inlineStr">
        <is>
          <t>Rubens_135</t>
        </is>
      </c>
      <c r="B54" s="10" t="inlineStr">
        <is>
          <t>Rubens et al. 2025</t>
        </is>
      </c>
      <c r="C54" s="10" t="inlineStr">
        <is>
          <t>HV2 polymorphism</t>
        </is>
      </c>
      <c r="D54" s="10" t="inlineStr">
        <is>
          <t>Оставшаяся ТЭ</t>
        </is>
      </c>
      <c r="E54" s="10" t="n">
        <v>100</v>
      </c>
    </row>
    <row r="55" ht="15.75" customHeight="1" s="32">
      <c r="A55" s="12" t="inlineStr">
        <is>
          <t>Rubens_136</t>
        </is>
      </c>
      <c r="B55" s="12" t="inlineStr">
        <is>
          <t>Rubens et al. 2025</t>
        </is>
      </c>
      <c r="C55" s="12" t="inlineStr">
        <is>
          <t>HV2 polymorphism</t>
        </is>
      </c>
      <c r="D55" s="12" t="inlineStr">
        <is>
          <t>Биоптат ТЭ</t>
        </is>
      </c>
      <c r="E55" s="12" t="n">
        <v>100</v>
      </c>
    </row>
    <row r="56" ht="15.75" customHeight="1" s="32">
      <c r="A56" s="10" t="inlineStr">
        <is>
          <t>Rubens_136</t>
        </is>
      </c>
      <c r="B56" s="10" t="inlineStr">
        <is>
          <t>Rubens et al. 2025</t>
        </is>
      </c>
      <c r="C56" s="10" t="inlineStr">
        <is>
          <t>HV2 polymorphism</t>
        </is>
      </c>
      <c r="D56" s="10" t="inlineStr">
        <is>
          <t>Оставшаяся ТЭ</t>
        </is>
      </c>
      <c r="E56" s="10" t="n">
        <v>100</v>
      </c>
    </row>
    <row r="57" ht="15.75" customHeight="1" s="32">
      <c r="A57" s="12" t="inlineStr">
        <is>
          <t>Rubens_55</t>
        </is>
      </c>
      <c r="B57" s="12" t="inlineStr">
        <is>
          <t>Rubens et al. 2025</t>
        </is>
      </c>
      <c r="C57" s="12" t="inlineStr">
        <is>
          <t>m.8344A&gt;G</t>
        </is>
      </c>
      <c r="D57" s="12" t="inlineStr">
        <is>
          <t>Биоптат ТЭ</t>
        </is>
      </c>
      <c r="E57" s="12" t="n">
        <v>68</v>
      </c>
    </row>
    <row r="58" ht="15.75" customHeight="1" s="32">
      <c r="A58" s="10" t="inlineStr">
        <is>
          <t>Rubens_55</t>
        </is>
      </c>
      <c r="B58" s="10" t="inlineStr">
        <is>
          <t>Rubens et al. 2025</t>
        </is>
      </c>
      <c r="C58" s="10" t="inlineStr">
        <is>
          <t>m.8344A&gt;G</t>
        </is>
      </c>
      <c r="D58" s="10" t="inlineStr">
        <is>
          <t>ВКМ</t>
        </is>
      </c>
      <c r="E58" s="10" t="n">
        <v>76</v>
      </c>
    </row>
    <row r="59" ht="15.75" customHeight="1" s="32">
      <c r="A59" s="12" t="inlineStr">
        <is>
          <t>Rubens_56</t>
        </is>
      </c>
      <c r="B59" s="12" t="inlineStr">
        <is>
          <t>Rubens et al. 2025</t>
        </is>
      </c>
      <c r="C59" s="12" t="inlineStr">
        <is>
          <t>m.8344A&gt;G</t>
        </is>
      </c>
      <c r="D59" s="12" t="inlineStr">
        <is>
          <t>Биоптат ТЭ</t>
        </is>
      </c>
      <c r="E59" s="12" t="n">
        <v>70</v>
      </c>
    </row>
    <row r="60" ht="15.75" customHeight="1" s="32">
      <c r="A60" s="10" t="inlineStr">
        <is>
          <t>Rubens_56</t>
        </is>
      </c>
      <c r="B60" s="10" t="inlineStr">
        <is>
          <t>Rubens et al. 2025</t>
        </is>
      </c>
      <c r="C60" s="10" t="inlineStr">
        <is>
          <t>m.8344A&gt;G</t>
        </is>
      </c>
      <c r="D60" s="10" t="inlineStr">
        <is>
          <t>Оставшаяся ТЭ</t>
        </is>
      </c>
      <c r="E60" s="10" t="n">
        <v>70</v>
      </c>
    </row>
    <row r="61" ht="15.75" customHeight="1" s="32">
      <c r="A61" s="12" t="inlineStr">
        <is>
          <t>Rubens_57</t>
        </is>
      </c>
      <c r="B61" s="12" t="inlineStr">
        <is>
          <t>Rubens et al. 2025</t>
        </is>
      </c>
      <c r="C61" s="12" t="inlineStr">
        <is>
          <t>m.8344A&gt;G</t>
        </is>
      </c>
      <c r="D61" s="12" t="inlineStr">
        <is>
          <t>Биоптат ТЭ</t>
        </is>
      </c>
      <c r="E61" s="12" t="n">
        <v>74</v>
      </c>
    </row>
    <row r="62" ht="15.75" customHeight="1" s="32">
      <c r="A62" s="10" t="inlineStr">
        <is>
          <t>Rubens_57</t>
        </is>
      </c>
      <c r="B62" s="10" t="inlineStr">
        <is>
          <t>Rubens et al. 2025</t>
        </is>
      </c>
      <c r="C62" s="10" t="inlineStr">
        <is>
          <t>m.8344A&gt;G</t>
        </is>
      </c>
      <c r="D62" s="10" t="inlineStr">
        <is>
          <t>ВКМ</t>
        </is>
      </c>
      <c r="E62" s="10" t="n">
        <v>80</v>
      </c>
    </row>
    <row r="63" ht="15.75" customHeight="1" s="32">
      <c r="A63" s="12" t="inlineStr">
        <is>
          <t>Rubens_61</t>
        </is>
      </c>
      <c r="B63" s="12" t="inlineStr">
        <is>
          <t>Rubens et al. 2025</t>
        </is>
      </c>
      <c r="C63" s="12" t="inlineStr">
        <is>
          <t>m.8344A&gt;G</t>
        </is>
      </c>
      <c r="D63" s="12" t="inlineStr">
        <is>
          <t>Биоптат ТЭ</t>
        </is>
      </c>
      <c r="E63" s="12" t="n">
        <v>76</v>
      </c>
    </row>
    <row r="64" ht="15.75" customHeight="1" s="32">
      <c r="A64" s="10" t="inlineStr">
        <is>
          <t>Rubens_61</t>
        </is>
      </c>
      <c r="B64" s="10" t="inlineStr">
        <is>
          <t>Rubens et al. 2025</t>
        </is>
      </c>
      <c r="C64" s="10" t="inlineStr">
        <is>
          <t>m.8344A&gt;G</t>
        </is>
      </c>
      <c r="D64" s="10" t="inlineStr">
        <is>
          <t>ВКМ</t>
        </is>
      </c>
      <c r="E64" s="10" t="n">
        <v>82</v>
      </c>
    </row>
    <row r="65" ht="15.75" customHeight="1" s="32">
      <c r="A65" s="12" t="inlineStr">
        <is>
          <t>Rubens_105</t>
        </is>
      </c>
      <c r="B65" s="12" t="inlineStr">
        <is>
          <t>Rubens et al. 2025</t>
        </is>
      </c>
      <c r="C65" s="12" t="inlineStr">
        <is>
          <t>m.8993T&gt;C</t>
        </is>
      </c>
      <c r="D65" s="12" t="inlineStr">
        <is>
          <t>Биоптат ТЭ</t>
        </is>
      </c>
      <c r="E65" s="12" t="n">
        <v>69</v>
      </c>
    </row>
    <row r="66" ht="15.75" customHeight="1" s="32">
      <c r="A66" s="10" t="inlineStr">
        <is>
          <t>Rubens_105</t>
        </is>
      </c>
      <c r="B66" s="10" t="inlineStr">
        <is>
          <t>Rubens et al. 2025</t>
        </is>
      </c>
      <c r="C66" s="10" t="inlineStr">
        <is>
          <t>m.8993T&gt;C</t>
        </is>
      </c>
      <c r="D66" s="10" t="inlineStr">
        <is>
          <t>Оставшаяся ТЭ</t>
        </is>
      </c>
      <c r="E66" s="10" t="n">
        <v>73</v>
      </c>
    </row>
    <row r="67" ht="15.75" customHeight="1" s="32">
      <c r="A67" s="12" t="inlineStr">
        <is>
          <t>Tofilo_1</t>
        </is>
      </c>
      <c r="B67" s="12" t="inlineStr">
        <is>
          <t>Tofilo et al., 2026, Journal of Assisted Reproduction and Genetics, in press</t>
        </is>
      </c>
      <c r="C67" s="12" t="inlineStr">
        <is>
          <t>m.14487T&gt;C</t>
        </is>
      </c>
      <c r="D67" s="12" t="inlineStr">
        <is>
          <t>Биоптат ТЭ</t>
        </is>
      </c>
      <c r="E67" s="12" t="n">
        <v>11.4</v>
      </c>
    </row>
    <row r="68" ht="15.75" customHeight="1" s="32">
      <c r="A68" s="10" t="inlineStr">
        <is>
          <t>Tofilo_1</t>
        </is>
      </c>
      <c r="B68" s="10" t="inlineStr">
        <is>
          <t>Tofilo et al., 2026, Journal of Assisted Reproduction and Genetics, in press</t>
        </is>
      </c>
      <c r="C68" s="10" t="inlineStr">
        <is>
          <t>m.14487T&gt;C</t>
        </is>
      </c>
      <c r="D68" s="10" t="inlineStr">
        <is>
          <t>ВКМ</t>
        </is>
      </c>
      <c r="E68" s="10" t="n">
        <v>12.2</v>
      </c>
    </row>
    <row r="69" ht="15.75" customHeight="1" s="32">
      <c r="A69" s="12" t="inlineStr">
        <is>
          <t>Tofilo_1</t>
        </is>
      </c>
      <c r="B69" s="12" t="inlineStr">
        <is>
          <t>Tofilo et al., 2026, Journal of Assisted Reproduction and Genetics, in press</t>
        </is>
      </c>
      <c r="C69" s="12" t="inlineStr">
        <is>
          <t>m.14487T&gt;C</t>
        </is>
      </c>
      <c r="D69" s="12" t="inlineStr">
        <is>
          <t>Оставшаяся ТЭ</t>
        </is>
      </c>
      <c r="E69" s="12" t="n">
        <v>12.9</v>
      </c>
    </row>
    <row r="70" ht="15.75" customHeight="1" s="32">
      <c r="A70" s="10" t="inlineStr">
        <is>
          <t>Tofilo_2</t>
        </is>
      </c>
      <c r="B70" s="10" t="inlineStr">
        <is>
          <t>Tofilo et al., 2026, Journal of Assisted Reproduction and Genetics, in press</t>
        </is>
      </c>
      <c r="C70" s="10" t="inlineStr">
        <is>
          <t>m.14487T&gt;C</t>
        </is>
      </c>
      <c r="D70" s="10" t="inlineStr">
        <is>
          <t>Биоптат ТЭ</t>
        </is>
      </c>
      <c r="E70" s="10" t="n">
        <v>99.59999999999999</v>
      </c>
    </row>
    <row r="71" ht="15.75" customHeight="1" s="32">
      <c r="A71" s="12" t="inlineStr">
        <is>
          <t>Tofilo_2</t>
        </is>
      </c>
      <c r="B71" s="12" t="inlineStr">
        <is>
          <t>Tofilo et al., 2026, Journal of Assisted Reproduction and Genetics, in press</t>
        </is>
      </c>
      <c r="C71" s="12" t="inlineStr">
        <is>
          <t>m.14487T&gt;C</t>
        </is>
      </c>
      <c r="D71" s="12" t="inlineStr">
        <is>
          <t>ВКМ</t>
        </is>
      </c>
      <c r="E71" s="12" t="n">
        <v>99.59999999999999</v>
      </c>
    </row>
    <row r="72" ht="15.75" customHeight="1" s="32">
      <c r="A72" s="10" t="inlineStr">
        <is>
          <t>Tofilo_2</t>
        </is>
      </c>
      <c r="B72" s="10" t="inlineStr">
        <is>
          <t>Tofilo et al., 2026, Journal of Assisted Reproduction and Genetics, in press</t>
        </is>
      </c>
      <c r="C72" s="10" t="inlineStr">
        <is>
          <t>m.14487T&gt;C</t>
        </is>
      </c>
      <c r="D72" s="10" t="inlineStr">
        <is>
          <t>Оставшаяся ТЭ</t>
        </is>
      </c>
      <c r="E72" s="10" t="n">
        <v>100</v>
      </c>
    </row>
    <row r="73" ht="15.75" customHeight="1" s="32">
      <c r="A73" s="12" t="inlineStr">
        <is>
          <t>Tofilo_3</t>
        </is>
      </c>
      <c r="B73" s="12" t="inlineStr">
        <is>
          <t>Tofilo et al., 2026, Journal of Assisted Reproduction and Genetics, in press</t>
        </is>
      </c>
      <c r="C73" s="12" t="inlineStr">
        <is>
          <t>m.14487T&gt;C</t>
        </is>
      </c>
      <c r="D73" s="12" t="inlineStr">
        <is>
          <t>Биоптат ТЭ</t>
        </is>
      </c>
      <c r="E73" s="12" t="n">
        <v>12</v>
      </c>
    </row>
    <row r="74" ht="15.75" customHeight="1" s="32">
      <c r="A74" s="10" t="inlineStr">
        <is>
          <t>Tofilo_3</t>
        </is>
      </c>
      <c r="B74" s="10" t="inlineStr">
        <is>
          <t>Tofilo et al., 2026, Journal of Assisted Reproduction and Genetics, in press</t>
        </is>
      </c>
      <c r="C74" s="10" t="inlineStr">
        <is>
          <t>m.14487T&gt;C</t>
        </is>
      </c>
      <c r="D74" s="10" t="inlineStr">
        <is>
          <t>Оставшаяся ТЭ</t>
        </is>
      </c>
      <c r="E74" s="10" t="n">
        <v>13.5</v>
      </c>
    </row>
    <row r="75" ht="15.75" customHeight="1" s="32">
      <c r="A75" s="12" t="inlineStr">
        <is>
          <t>Tofilo_4</t>
        </is>
      </c>
      <c r="B75" s="12" t="inlineStr">
        <is>
          <t>Tofilo et al., 2026, Journal of Assisted Reproduction and Genetics, in press</t>
        </is>
      </c>
      <c r="C75" s="12" t="inlineStr">
        <is>
          <t>m.14487T&gt;C</t>
        </is>
      </c>
      <c r="D75" s="12" t="inlineStr">
        <is>
          <t>Биоптат ТЭ</t>
        </is>
      </c>
      <c r="E75" s="12" t="n">
        <v>92.3</v>
      </c>
    </row>
    <row r="76" ht="15.75" customHeight="1" s="32">
      <c r="A76" s="10" t="inlineStr">
        <is>
          <t>Tofilo_4</t>
        </is>
      </c>
      <c r="B76" s="10" t="inlineStr">
        <is>
          <t>Tofilo et al., 2026, Journal of Assisted Reproduction and Genetics, in press</t>
        </is>
      </c>
      <c r="C76" s="10" t="inlineStr">
        <is>
          <t>m.14487T&gt;C</t>
        </is>
      </c>
      <c r="D76" s="10" t="inlineStr">
        <is>
          <t>Оставшаяся ТЭ</t>
        </is>
      </c>
      <c r="E76" s="10" t="n">
        <v>90</v>
      </c>
    </row>
    <row r="77" ht="15.75" customHeight="1" s="32">
      <c r="A77" s="12" t="inlineStr">
        <is>
          <t>Tofilo_5</t>
        </is>
      </c>
      <c r="B77" s="12" t="inlineStr">
        <is>
          <t>Tofilo et al., 2026, Journal of Assisted Reproduction and Genetics, in press</t>
        </is>
      </c>
      <c r="C77" s="12" t="inlineStr">
        <is>
          <t>m.14487T&gt;C</t>
        </is>
      </c>
      <c r="D77" s="12" t="inlineStr">
        <is>
          <t>Биоптат ТЭ</t>
        </is>
      </c>
      <c r="E77" s="12" t="n">
        <v>73.2</v>
      </c>
    </row>
    <row r="78" ht="15.75" customHeight="1" s="32">
      <c r="A78" s="10" t="inlineStr">
        <is>
          <t>Tofilo_5</t>
        </is>
      </c>
      <c r="B78" s="10" t="inlineStr">
        <is>
          <t>Tofilo et al., 2026, Journal of Assisted Reproduction and Genetics, in press</t>
        </is>
      </c>
      <c r="C78" s="10" t="inlineStr">
        <is>
          <t>m.14487T&gt;C</t>
        </is>
      </c>
      <c r="D78" s="10" t="inlineStr">
        <is>
          <t>ВКМ</t>
        </is>
      </c>
      <c r="E78" s="10" t="n">
        <v>72.3</v>
      </c>
    </row>
    <row r="79" ht="15.75" customHeight="1" s="32">
      <c r="A79" s="12" t="inlineStr">
        <is>
          <t>Tofilo_5</t>
        </is>
      </c>
      <c r="B79" s="12" t="inlineStr">
        <is>
          <t>Tofilo et al., 2026, Journal of Assisted Reproduction and Genetics, in press</t>
        </is>
      </c>
      <c r="C79" s="12" t="inlineStr">
        <is>
          <t>m.14487T&gt;C</t>
        </is>
      </c>
      <c r="D79" s="12" t="inlineStr">
        <is>
          <t>Оставшаяся ТЭ</t>
        </is>
      </c>
      <c r="E79" s="12" t="n">
        <v>78.7</v>
      </c>
    </row>
    <row r="80" ht="15.75" customHeight="1" s="32">
      <c r="A80" s="10" t="inlineStr">
        <is>
          <t>Tofilo_6</t>
        </is>
      </c>
      <c r="B80" s="10" t="inlineStr">
        <is>
          <t>Tofilo et al., 2026, Journal of Assisted Reproduction and Genetics, in press</t>
        </is>
      </c>
      <c r="C80" s="10" t="inlineStr">
        <is>
          <t>m.14487T&gt;C</t>
        </is>
      </c>
      <c r="D80" s="10" t="inlineStr">
        <is>
          <t>Биоптат ТЭ</t>
        </is>
      </c>
      <c r="E80" s="10" t="n">
        <v>13.5</v>
      </c>
    </row>
    <row r="81" ht="15.75" customHeight="1" s="32">
      <c r="A81" s="12" t="inlineStr">
        <is>
          <t>Tofilo_6</t>
        </is>
      </c>
      <c r="B81" s="12" t="inlineStr">
        <is>
          <t>Tofilo et al., 2026, Journal of Assisted Reproduction and Genetics, in press</t>
        </is>
      </c>
      <c r="C81" s="12" t="inlineStr">
        <is>
          <t>m.14487T&gt;C</t>
        </is>
      </c>
      <c r="D81" s="12" t="inlineStr">
        <is>
          <t>ВКМ</t>
        </is>
      </c>
      <c r="E81" s="12" t="n">
        <v>11.4</v>
      </c>
    </row>
    <row r="82" ht="15.75" customHeight="1" s="32">
      <c r="A82" s="10" t="inlineStr">
        <is>
          <t>Tofilo_6</t>
        </is>
      </c>
      <c r="B82" s="10" t="inlineStr">
        <is>
          <t>Tofilo et al., 2026, Journal of Assisted Reproduction and Genetics, in press</t>
        </is>
      </c>
      <c r="C82" s="10" t="inlineStr">
        <is>
          <t>m.14487T&gt;C</t>
        </is>
      </c>
      <c r="D82" s="10" t="inlineStr">
        <is>
          <t>Оставшаяся ТЭ</t>
        </is>
      </c>
      <c r="E82" s="10" t="n">
        <v>11.9</v>
      </c>
    </row>
    <row r="83" ht="15.75" customHeight="1" s="32">
      <c r="A83" s="12" t="inlineStr">
        <is>
          <t>Treff_blastocyst_1</t>
        </is>
      </c>
      <c r="B83" s="12" t="inlineStr">
        <is>
          <t>Treff et al. 2012</t>
        </is>
      </c>
      <c r="C83" s="12" t="inlineStr">
        <is>
          <t>m.3243A&gt;G</t>
        </is>
      </c>
      <c r="D83" s="12" t="inlineStr">
        <is>
          <t>Биоптат ТЭ</t>
        </is>
      </c>
      <c r="E83" s="12" t="n">
        <v>23.6666666666667</v>
      </c>
    </row>
    <row r="84" ht="15.75" customHeight="1" s="32">
      <c r="A84" s="10" t="inlineStr">
        <is>
          <t>Treff_blastocyst_1</t>
        </is>
      </c>
      <c r="B84" s="10" t="inlineStr">
        <is>
          <t>Treff et al. 2012</t>
        </is>
      </c>
      <c r="C84" s="10" t="inlineStr">
        <is>
          <t>m.3243A&gt;G</t>
        </is>
      </c>
      <c r="D84" s="10" t="inlineStr">
        <is>
          <t>ВКМ</t>
        </is>
      </c>
      <c r="E84" s="10" t="n">
        <v>25</v>
      </c>
    </row>
    <row r="85" ht="15.75" customHeight="1" s="32">
      <c r="A85" s="12" t="inlineStr">
        <is>
          <t>Treff_blastocyst_2</t>
        </is>
      </c>
      <c r="B85" s="12" t="inlineStr">
        <is>
          <t>Treff et al. 2012</t>
        </is>
      </c>
      <c r="C85" s="12" t="inlineStr">
        <is>
          <t>m.3243A&gt;G</t>
        </is>
      </c>
      <c r="D85" s="12" t="inlineStr">
        <is>
          <t>Биоптат ТЭ</t>
        </is>
      </c>
      <c r="E85" s="12" t="n">
        <v>81.6666666666667</v>
      </c>
    </row>
    <row r="86" ht="15.75" customHeight="1" s="32">
      <c r="A86" s="10" t="inlineStr">
        <is>
          <t>Treff_blastocyst_2</t>
        </is>
      </c>
      <c r="B86" s="10" t="inlineStr">
        <is>
          <t>Treff et al. 2012</t>
        </is>
      </c>
      <c r="C86" s="10" t="inlineStr">
        <is>
          <t>m.3243A&gt;G</t>
        </is>
      </c>
      <c r="D86" s="10" t="inlineStr">
        <is>
          <t>ВКМ</t>
        </is>
      </c>
      <c r="E86" s="10" t="n">
        <v>81</v>
      </c>
    </row>
    <row r="87" ht="15.75" customHeight="1" s="32">
      <c r="A87" s="12" t="inlineStr">
        <is>
          <t>Treff_blastocyst_3</t>
        </is>
      </c>
      <c r="B87" s="12" t="inlineStr">
        <is>
          <t>Treff et al. 2012</t>
        </is>
      </c>
      <c r="C87" s="12" t="inlineStr">
        <is>
          <t>m.3243A&gt;G</t>
        </is>
      </c>
      <c r="D87" s="12" t="inlineStr">
        <is>
          <t>Биоптат ТЭ</t>
        </is>
      </c>
      <c r="E87" s="12" t="n">
        <v>91.25</v>
      </c>
    </row>
    <row r="88" ht="15.75" customHeight="1" s="32">
      <c r="A88" s="10" t="inlineStr">
        <is>
          <t>Treff_blastocyst_3</t>
        </is>
      </c>
      <c r="B88" s="10" t="inlineStr">
        <is>
          <t>Treff et al. 2012</t>
        </is>
      </c>
      <c r="C88" s="10" t="inlineStr">
        <is>
          <t>m.3243A&gt;G</t>
        </is>
      </c>
      <c r="D88" s="10" t="inlineStr">
        <is>
          <t>ВКМ</t>
        </is>
      </c>
      <c r="E88" s="10" t="n">
        <v>85</v>
      </c>
    </row>
    <row r="89" ht="15.75" customHeight="1" s="32">
      <c r="A89" s="12" t="inlineStr">
        <is>
          <t>Treff_blastocyst_4</t>
        </is>
      </c>
      <c r="B89" s="12" t="inlineStr">
        <is>
          <t>Treff et al. 2012</t>
        </is>
      </c>
      <c r="C89" s="12" t="inlineStr">
        <is>
          <t>m.3243A&gt;G</t>
        </is>
      </c>
      <c r="D89" s="12" t="inlineStr">
        <is>
          <t>Биоптат ТЭ</t>
        </is>
      </c>
      <c r="E89" s="12" t="n">
        <v>88.3333333333333</v>
      </c>
    </row>
    <row r="90" ht="15.75" customHeight="1" s="32">
      <c r="A90" s="10" t="inlineStr">
        <is>
          <t>Treff_blastocyst_4</t>
        </is>
      </c>
      <c r="B90" s="10" t="inlineStr">
        <is>
          <t>Treff et al. 2012</t>
        </is>
      </c>
      <c r="C90" s="10" t="inlineStr">
        <is>
          <t>m.3243A&gt;G</t>
        </is>
      </c>
      <c r="D90" s="10" t="inlineStr">
        <is>
          <t>ВКМ</t>
        </is>
      </c>
      <c r="E90" s="10" t="n">
        <v>91</v>
      </c>
    </row>
    <row r="91" ht="15.75" customHeight="1" s="32">
      <c r="A91" s="12" t="inlineStr">
        <is>
          <t>Treff_blastocyst_5</t>
        </is>
      </c>
      <c r="B91" s="12" t="inlineStr">
        <is>
          <t>Treff et al. 2012</t>
        </is>
      </c>
      <c r="C91" s="12" t="inlineStr">
        <is>
          <t>m.3243A&gt;G</t>
        </is>
      </c>
      <c r="D91" s="12" t="inlineStr">
        <is>
          <t>Биоптат ТЭ</t>
        </is>
      </c>
      <c r="E91" s="12" t="n">
        <v>81.75</v>
      </c>
    </row>
    <row r="92" ht="15.75" customHeight="1" s="32">
      <c r="A92" s="10" t="inlineStr">
        <is>
          <t>Treff_blastocyst_5</t>
        </is>
      </c>
      <c r="B92" s="10" t="inlineStr">
        <is>
          <t>Treff et al. 2012</t>
        </is>
      </c>
      <c r="C92" s="10" t="inlineStr">
        <is>
          <t>m.3243A&gt;G</t>
        </is>
      </c>
      <c r="D92" s="10" t="inlineStr">
        <is>
          <t>ВКМ</t>
        </is>
      </c>
      <c r="E92" s="10" t="n">
        <v>83.3333333333333</v>
      </c>
    </row>
    <row r="93" ht="15.75" customHeight="1" s="32">
      <c r="A93" s="12" t="inlineStr">
        <is>
          <t>Treff_blastocyst_6</t>
        </is>
      </c>
      <c r="B93" s="12" t="inlineStr">
        <is>
          <t>Treff et al. 2012</t>
        </is>
      </c>
      <c r="C93" s="12" t="inlineStr">
        <is>
          <t>m.3243A&gt;G</t>
        </is>
      </c>
      <c r="D93" s="12" t="inlineStr">
        <is>
          <t>Биоптат ТЭ</t>
        </is>
      </c>
      <c r="E93" s="12" t="n">
        <v>36.3333333333333</v>
      </c>
    </row>
    <row r="94" ht="15.75" customHeight="1" s="32">
      <c r="A94" s="10" t="inlineStr">
        <is>
          <t>Treff_blastocyst_6</t>
        </is>
      </c>
      <c r="B94" s="10" t="inlineStr">
        <is>
          <t>Treff et al. 2012</t>
        </is>
      </c>
      <c r="C94" s="10" t="inlineStr">
        <is>
          <t>m.3243A&gt;G</t>
        </is>
      </c>
      <c r="D94" s="10" t="inlineStr">
        <is>
          <t>ВКМ</t>
        </is>
      </c>
      <c r="E94" s="10" t="n">
        <v>39.3333333333333</v>
      </c>
    </row>
    <row r="95" ht="15.75" customHeight="1" s="32"/>
    <row r="96" ht="15.75" customHeight="1" s="32"/>
    <row r="97" ht="21.75" customHeight="1" s="32">
      <c r="A97" s="36" t="inlineStr">
        <is>
          <t>Панель Б — Разница гетероплазмии между фракциями (Δ, п.п.)</t>
        </is>
      </c>
    </row>
    <row r="98" ht="33.75" customHeight="1" s="32">
      <c r="A98" s="34" t="inlineStr">
        <is>
          <t>Разница Δ = фракция − ТЭ-биоптат в процентных пунктах. Каждая строка — одно парное сравнение для одного эмбриона.</t>
        </is>
      </c>
    </row>
    <row r="99" ht="30" customHeight="1" s="32">
      <c r="A99" s="20" t="inlineStr">
        <is>
          <t>Эмбрион</t>
        </is>
      </c>
      <c r="B99" s="20" t="inlineStr">
        <is>
          <t>Источник</t>
        </is>
      </c>
      <c r="C99" s="20" t="inlineStr">
        <is>
          <t>Вариант мтДНК</t>
        </is>
      </c>
      <c r="D99" s="20" t="inlineStr">
        <is>
          <t>Сравнение</t>
        </is>
      </c>
      <c r="E99" s="20" t="inlineStr">
        <is>
          <t>Δ, п.п.</t>
        </is>
      </c>
    </row>
    <row r="100" ht="15.75" customHeight="1" s="32">
      <c r="A100" s="10" t="inlineStr">
        <is>
          <t>Janssen2024_F20_E45</t>
        </is>
      </c>
      <c r="B100" s="10" t="inlineStr">
        <is>
          <t>Janssen et al. 2024</t>
        </is>
      </c>
      <c r="C100" s="10" t="inlineStr">
        <is>
          <t>m.3243A&gt;G</t>
        </is>
      </c>
      <c r="D100" s="10" t="inlineStr">
        <is>
          <t>Оставшаяся ТЭ − биоптат</t>
        </is>
      </c>
      <c r="E100" s="10" t="n">
        <v>-0.100000000000001</v>
      </c>
    </row>
    <row r="101" ht="15.75" customHeight="1" s="32">
      <c r="A101" s="12" t="inlineStr">
        <is>
          <t>Janssen2024_F20_E46</t>
        </is>
      </c>
      <c r="B101" s="12" t="inlineStr">
        <is>
          <t>Janssen et al. 2024</t>
        </is>
      </c>
      <c r="C101" s="12" t="inlineStr">
        <is>
          <t>m.3243A&gt;G</t>
        </is>
      </c>
      <c r="D101" s="12" t="inlineStr">
        <is>
          <t>Оставшаяся ТЭ − биоптат</t>
        </is>
      </c>
      <c r="E101" s="12" t="n">
        <v>0.600000000000009</v>
      </c>
    </row>
    <row r="102" ht="15.75" customHeight="1" s="32">
      <c r="A102" s="10" t="inlineStr">
        <is>
          <t>Janssen2024_F20_E47</t>
        </is>
      </c>
      <c r="B102" s="10" t="inlineStr">
        <is>
          <t>Janssen et al. 2024</t>
        </is>
      </c>
      <c r="C102" s="10" t="inlineStr">
        <is>
          <t>m.3243A&gt;G</t>
        </is>
      </c>
      <c r="D102" s="10" t="inlineStr">
        <is>
          <t>Оставшаяся ТЭ − биоптат</t>
        </is>
      </c>
      <c r="E102" s="10" t="n">
        <v>0.700000000000003</v>
      </c>
    </row>
    <row r="103" ht="15.75" customHeight="1" s="32">
      <c r="A103" s="12" t="inlineStr">
        <is>
          <t>Janssen2024_F20_E48</t>
        </is>
      </c>
      <c r="B103" s="12" t="inlineStr">
        <is>
          <t>Janssen et al. 2024</t>
        </is>
      </c>
      <c r="C103" s="12" t="inlineStr">
        <is>
          <t>m.3243A&gt;G</t>
        </is>
      </c>
      <c r="D103" s="12" t="inlineStr">
        <is>
          <t>Оставшаяся ТЭ − биоптат</t>
        </is>
      </c>
      <c r="E103" s="12" t="n">
        <v>-2.2</v>
      </c>
    </row>
    <row r="104" ht="15.75" customHeight="1" s="32">
      <c r="A104" s="10" t="inlineStr">
        <is>
          <t>Rubens_113</t>
        </is>
      </c>
      <c r="B104" s="10" t="inlineStr">
        <is>
          <t>Rubens et al. 2025</t>
        </is>
      </c>
      <c r="C104" s="10" t="inlineStr">
        <is>
          <t>HV2 polymorphism</t>
        </is>
      </c>
      <c r="D104" s="10" t="inlineStr">
        <is>
          <t>Оставшаяся ТЭ − биоптат</t>
        </is>
      </c>
      <c r="E104" s="10" t="n">
        <v>-1</v>
      </c>
    </row>
    <row r="105" ht="15.75" customHeight="1" s="32">
      <c r="A105" s="12" t="inlineStr">
        <is>
          <t>Rubens_114</t>
        </is>
      </c>
      <c r="B105" s="12" t="inlineStr">
        <is>
          <t>Rubens et al. 2025</t>
        </is>
      </c>
      <c r="C105" s="12" t="inlineStr">
        <is>
          <t>HV2 polymorphism</t>
        </is>
      </c>
      <c r="D105" s="12" t="inlineStr">
        <is>
          <t>Оставшаяся ТЭ − биоптат</t>
        </is>
      </c>
      <c r="E105" s="12" t="n">
        <v>4</v>
      </c>
    </row>
    <row r="106" ht="15.75" customHeight="1" s="32">
      <c r="A106" s="10" t="inlineStr">
        <is>
          <t>Rubens_115</t>
        </is>
      </c>
      <c r="B106" s="10" t="inlineStr">
        <is>
          <t>Rubens et al. 2025</t>
        </is>
      </c>
      <c r="C106" s="10" t="inlineStr">
        <is>
          <t>HV2 polymorphism</t>
        </is>
      </c>
      <c r="D106" s="10" t="inlineStr">
        <is>
          <t>Оставшаяся ТЭ − биоптат</t>
        </is>
      </c>
      <c r="E106" s="10" t="n">
        <v>1</v>
      </c>
    </row>
    <row r="107" ht="15.75" customHeight="1" s="32">
      <c r="A107" s="12" t="inlineStr">
        <is>
          <t>Rubens_116</t>
        </is>
      </c>
      <c r="B107" s="12" t="inlineStr">
        <is>
          <t>Rubens et al. 2025</t>
        </is>
      </c>
      <c r="C107" s="12" t="inlineStr">
        <is>
          <t>HV2 polymorphism</t>
        </is>
      </c>
      <c r="D107" s="12" t="inlineStr">
        <is>
          <t>ВКМ − биоптат</t>
        </is>
      </c>
      <c r="E107" s="12" t="n">
        <v>0</v>
      </c>
    </row>
    <row r="108" ht="15.75" customHeight="1" s="32">
      <c r="A108" s="10" t="inlineStr">
        <is>
          <t>Rubens_116</t>
        </is>
      </c>
      <c r="B108" s="10" t="inlineStr">
        <is>
          <t>Rubens et al. 2025</t>
        </is>
      </c>
      <c r="C108" s="10" t="inlineStr">
        <is>
          <t>HV2 polymorphism</t>
        </is>
      </c>
      <c r="D108" s="10" t="inlineStr">
        <is>
          <t>Оставшаяся ТЭ − биоптат</t>
        </is>
      </c>
      <c r="E108" s="10" t="n">
        <v>-3</v>
      </c>
    </row>
    <row r="109" ht="15.75" customHeight="1" s="32">
      <c r="A109" s="12" t="inlineStr">
        <is>
          <t>Rubens_117</t>
        </is>
      </c>
      <c r="B109" s="12" t="inlineStr">
        <is>
          <t>Rubens et al. 2025</t>
        </is>
      </c>
      <c r="C109" s="12" t="inlineStr">
        <is>
          <t>HV2 polymorphism</t>
        </is>
      </c>
      <c r="D109" s="12" t="inlineStr">
        <is>
          <t>ВКМ − биоптат</t>
        </is>
      </c>
      <c r="E109" s="12" t="n">
        <v>-1</v>
      </c>
    </row>
    <row r="110" ht="15.75" customHeight="1" s="32">
      <c r="A110" s="10" t="inlineStr">
        <is>
          <t>Rubens_117</t>
        </is>
      </c>
      <c r="B110" s="10" t="inlineStr">
        <is>
          <t>Rubens et al. 2025</t>
        </is>
      </c>
      <c r="C110" s="10" t="inlineStr">
        <is>
          <t>HV2 polymorphism</t>
        </is>
      </c>
      <c r="D110" s="10" t="inlineStr">
        <is>
          <t>Оставшаяся ТЭ − биоптат</t>
        </is>
      </c>
      <c r="E110" s="10" t="n">
        <v>2</v>
      </c>
    </row>
    <row r="111" ht="15.75" customHeight="1" s="32">
      <c r="A111" s="12" t="inlineStr">
        <is>
          <t>Rubens_118</t>
        </is>
      </c>
      <c r="B111" s="12" t="inlineStr">
        <is>
          <t>Rubens et al. 2025</t>
        </is>
      </c>
      <c r="C111" s="12" t="inlineStr">
        <is>
          <t>HV2 polymorphism</t>
        </is>
      </c>
      <c r="D111" s="12" t="inlineStr">
        <is>
          <t>Оставшаяся ТЭ − биоптат</t>
        </is>
      </c>
      <c r="E111" s="12" t="n">
        <v>-1</v>
      </c>
    </row>
    <row r="112" ht="15.75" customHeight="1" s="32">
      <c r="A112" s="10" t="inlineStr">
        <is>
          <t>Rubens_120</t>
        </is>
      </c>
      <c r="B112" s="10" t="inlineStr">
        <is>
          <t>Rubens et al. 2025</t>
        </is>
      </c>
      <c r="C112" s="10" t="inlineStr">
        <is>
          <t>HV2 polymorphism</t>
        </is>
      </c>
      <c r="D112" s="10" t="inlineStr">
        <is>
          <t>ВКМ − биоптат</t>
        </is>
      </c>
      <c r="E112" s="10" t="n">
        <v>7</v>
      </c>
    </row>
    <row r="113" ht="15.75" customHeight="1" s="32">
      <c r="A113" s="12" t="inlineStr">
        <is>
          <t>Rubens_120</t>
        </is>
      </c>
      <c r="B113" s="12" t="inlineStr">
        <is>
          <t>Rubens et al. 2025</t>
        </is>
      </c>
      <c r="C113" s="12" t="inlineStr">
        <is>
          <t>HV2 polymorphism</t>
        </is>
      </c>
      <c r="D113" s="12" t="inlineStr">
        <is>
          <t>Оставшаяся ТЭ − биоптат</t>
        </is>
      </c>
      <c r="E113" s="12" t="n">
        <v>0</v>
      </c>
    </row>
    <row r="114" ht="15.75" customHeight="1" s="32">
      <c r="A114" s="10" t="inlineStr">
        <is>
          <t>Rubens_123</t>
        </is>
      </c>
      <c r="B114" s="10" t="inlineStr">
        <is>
          <t>Rubens et al. 2025</t>
        </is>
      </c>
      <c r="C114" s="10" t="inlineStr">
        <is>
          <t>HV2 polymorphism</t>
        </is>
      </c>
      <c r="D114" s="10" t="inlineStr">
        <is>
          <t>ВКМ − биоптат</t>
        </is>
      </c>
      <c r="E114" s="10" t="n">
        <v>0</v>
      </c>
    </row>
    <row r="115" ht="15.75" customHeight="1" s="32">
      <c r="A115" s="12" t="inlineStr">
        <is>
          <t>Rubens_123</t>
        </is>
      </c>
      <c r="B115" s="12" t="inlineStr">
        <is>
          <t>Rubens et al. 2025</t>
        </is>
      </c>
      <c r="C115" s="12" t="inlineStr">
        <is>
          <t>HV2 polymorphism</t>
        </is>
      </c>
      <c r="D115" s="12" t="inlineStr">
        <is>
          <t>Оставшаяся ТЭ − биоптат</t>
        </is>
      </c>
      <c r="E115" s="12" t="n">
        <v>-2</v>
      </c>
    </row>
    <row r="116" ht="15.75" customHeight="1" s="32">
      <c r="A116" s="10" t="inlineStr">
        <is>
          <t>Rubens_125</t>
        </is>
      </c>
      <c r="B116" s="10" t="inlineStr">
        <is>
          <t>Rubens et al. 2025</t>
        </is>
      </c>
      <c r="C116" s="10" t="inlineStr">
        <is>
          <t>HV2 polymorphism</t>
        </is>
      </c>
      <c r="D116" s="10" t="inlineStr">
        <is>
          <t>Оставшаяся ТЭ − биоптат</t>
        </is>
      </c>
      <c r="E116" s="10" t="n">
        <v>-1</v>
      </c>
    </row>
    <row r="117" ht="15.75" customHeight="1" s="32">
      <c r="A117" s="12" t="inlineStr">
        <is>
          <t>Rubens_126</t>
        </is>
      </c>
      <c r="B117" s="12" t="inlineStr">
        <is>
          <t>Rubens et al. 2025</t>
        </is>
      </c>
      <c r="C117" s="12" t="inlineStr">
        <is>
          <t>HV2 polymorphism</t>
        </is>
      </c>
      <c r="D117" s="12" t="inlineStr">
        <is>
          <t>Оставшаяся ТЭ − биоптат</t>
        </is>
      </c>
      <c r="E117" s="12" t="n">
        <v>-1</v>
      </c>
    </row>
    <row r="118" ht="15.75" customHeight="1" s="32">
      <c r="A118" s="10" t="inlineStr">
        <is>
          <t>Rubens_127</t>
        </is>
      </c>
      <c r="B118" s="10" t="inlineStr">
        <is>
          <t>Rubens et al. 2025</t>
        </is>
      </c>
      <c r="C118" s="10" t="inlineStr">
        <is>
          <t>HV2 polymorphism</t>
        </is>
      </c>
      <c r="D118" s="10" t="inlineStr">
        <is>
          <t>Оставшаяся ТЭ − биоптат</t>
        </is>
      </c>
      <c r="E118" s="10" t="n">
        <v>0</v>
      </c>
    </row>
    <row r="119" ht="15.75" customHeight="1" s="32">
      <c r="A119" s="12" t="inlineStr">
        <is>
          <t>Rubens_128</t>
        </is>
      </c>
      <c r="B119" s="12" t="inlineStr">
        <is>
          <t>Rubens et al. 2025</t>
        </is>
      </c>
      <c r="C119" s="12" t="inlineStr">
        <is>
          <t>HV2 polymorphism</t>
        </is>
      </c>
      <c r="D119" s="12" t="inlineStr">
        <is>
          <t>ВКМ − биоптат</t>
        </is>
      </c>
      <c r="E119" s="12" t="n">
        <v>0</v>
      </c>
    </row>
    <row r="120" ht="15.75" customHeight="1" s="32">
      <c r="A120" s="10" t="inlineStr">
        <is>
          <t>Rubens_128</t>
        </is>
      </c>
      <c r="B120" s="10" t="inlineStr">
        <is>
          <t>Rubens et al. 2025</t>
        </is>
      </c>
      <c r="C120" s="10" t="inlineStr">
        <is>
          <t>HV2 polymorphism</t>
        </is>
      </c>
      <c r="D120" s="10" t="inlineStr">
        <is>
          <t>Оставшаяся ТЭ − биоптат</t>
        </is>
      </c>
      <c r="E120" s="10" t="n">
        <v>0</v>
      </c>
    </row>
    <row r="121" ht="15.75" customHeight="1" s="32">
      <c r="A121" s="12" t="inlineStr">
        <is>
          <t>Rubens_129</t>
        </is>
      </c>
      <c r="B121" s="12" t="inlineStr">
        <is>
          <t>Rubens et al. 2025</t>
        </is>
      </c>
      <c r="C121" s="12" t="inlineStr">
        <is>
          <t>HV2 polymorphism</t>
        </is>
      </c>
      <c r="D121" s="12" t="inlineStr">
        <is>
          <t>Оставшаяся ТЭ − биоптат</t>
        </is>
      </c>
      <c r="E121" s="12" t="n">
        <v>0</v>
      </c>
    </row>
    <row r="122" ht="15.75" customHeight="1" s="32">
      <c r="A122" s="10" t="inlineStr">
        <is>
          <t>Rubens_130</t>
        </is>
      </c>
      <c r="B122" s="10" t="inlineStr">
        <is>
          <t>Rubens et al. 2025</t>
        </is>
      </c>
      <c r="C122" s="10" t="inlineStr">
        <is>
          <t>HV2 polymorphism</t>
        </is>
      </c>
      <c r="D122" s="10" t="inlineStr">
        <is>
          <t>Оставшаяся ТЭ − биоптат</t>
        </is>
      </c>
      <c r="E122" s="10" t="n">
        <v>0</v>
      </c>
    </row>
    <row r="123" ht="15.75" customHeight="1" s="32">
      <c r="A123" s="12" t="inlineStr">
        <is>
          <t>Rubens_131</t>
        </is>
      </c>
      <c r="B123" s="12" t="inlineStr">
        <is>
          <t>Rubens et al. 2025</t>
        </is>
      </c>
      <c r="C123" s="12" t="inlineStr">
        <is>
          <t>HV2 polymorphism</t>
        </is>
      </c>
      <c r="D123" s="12" t="inlineStr">
        <is>
          <t>ВКМ − биоптат</t>
        </is>
      </c>
      <c r="E123" s="12" t="n">
        <v>0</v>
      </c>
    </row>
    <row r="124" ht="15.75" customHeight="1" s="32">
      <c r="A124" s="10" t="inlineStr">
        <is>
          <t>Rubens_131</t>
        </is>
      </c>
      <c r="B124" s="10" t="inlineStr">
        <is>
          <t>Rubens et al. 2025</t>
        </is>
      </c>
      <c r="C124" s="10" t="inlineStr">
        <is>
          <t>HV2 polymorphism</t>
        </is>
      </c>
      <c r="D124" s="10" t="inlineStr">
        <is>
          <t>Оставшаяся ТЭ − биоптат</t>
        </is>
      </c>
      <c r="E124" s="10" t="n">
        <v>0</v>
      </c>
    </row>
    <row r="125" ht="15.75" customHeight="1" s="32">
      <c r="A125" s="12" t="inlineStr">
        <is>
          <t>Rubens_132</t>
        </is>
      </c>
      <c r="B125" s="12" t="inlineStr">
        <is>
          <t>Rubens et al. 2025</t>
        </is>
      </c>
      <c r="C125" s="12" t="inlineStr">
        <is>
          <t>HV2 polymorphism</t>
        </is>
      </c>
      <c r="D125" s="12" t="inlineStr">
        <is>
          <t>ВКМ − биоптат</t>
        </is>
      </c>
      <c r="E125" s="12" t="n">
        <v>0</v>
      </c>
    </row>
    <row r="126" ht="15.75" customHeight="1" s="32">
      <c r="A126" s="10" t="inlineStr">
        <is>
          <t>Rubens_132</t>
        </is>
      </c>
      <c r="B126" s="10" t="inlineStr">
        <is>
          <t>Rubens et al. 2025</t>
        </is>
      </c>
      <c r="C126" s="10" t="inlineStr">
        <is>
          <t>HV2 polymorphism</t>
        </is>
      </c>
      <c r="D126" s="10" t="inlineStr">
        <is>
          <t>Оставшаяся ТЭ − биоптат</t>
        </is>
      </c>
      <c r="E126" s="10" t="n">
        <v>0</v>
      </c>
    </row>
    <row r="127" ht="15.75" customHeight="1" s="32">
      <c r="A127" s="12" t="inlineStr">
        <is>
          <t>Rubens_134</t>
        </is>
      </c>
      <c r="B127" s="12" t="inlineStr">
        <is>
          <t>Rubens et al. 2025</t>
        </is>
      </c>
      <c r="C127" s="12" t="inlineStr">
        <is>
          <t>HV2 polymorphism</t>
        </is>
      </c>
      <c r="D127" s="12" t="inlineStr">
        <is>
          <t>Оставшаяся ТЭ − биоптат</t>
        </is>
      </c>
      <c r="E127" s="12" t="n">
        <v>0</v>
      </c>
    </row>
    <row r="128" ht="15.75" customHeight="1" s="32">
      <c r="A128" s="10" t="inlineStr">
        <is>
          <t>Rubens_135</t>
        </is>
      </c>
      <c r="B128" s="10" t="inlineStr">
        <is>
          <t>Rubens et al. 2025</t>
        </is>
      </c>
      <c r="C128" s="10" t="inlineStr">
        <is>
          <t>HV2 polymorphism</t>
        </is>
      </c>
      <c r="D128" s="10" t="inlineStr">
        <is>
          <t>Оставшаяся ТЭ − биоптат</t>
        </is>
      </c>
      <c r="E128" s="10" t="n">
        <v>0</v>
      </c>
    </row>
    <row r="129" ht="15.75" customHeight="1" s="32">
      <c r="A129" s="12" t="inlineStr">
        <is>
          <t>Rubens_136</t>
        </is>
      </c>
      <c r="B129" s="12" t="inlineStr">
        <is>
          <t>Rubens et al. 2025</t>
        </is>
      </c>
      <c r="C129" s="12" t="inlineStr">
        <is>
          <t>HV2 polymorphism</t>
        </is>
      </c>
      <c r="D129" s="12" t="inlineStr">
        <is>
          <t>Оставшаяся ТЭ − биоптат</t>
        </is>
      </c>
      <c r="E129" s="12" t="n">
        <v>0</v>
      </c>
    </row>
    <row r="130" ht="15.75" customHeight="1" s="32">
      <c r="A130" s="10" t="inlineStr">
        <is>
          <t>Rubens_55</t>
        </is>
      </c>
      <c r="B130" s="10" t="inlineStr">
        <is>
          <t>Rubens et al. 2025</t>
        </is>
      </c>
      <c r="C130" s="10" t="inlineStr">
        <is>
          <t>m.8344A&gt;G</t>
        </is>
      </c>
      <c r="D130" s="10" t="inlineStr">
        <is>
          <t>ВКМ − биоптат</t>
        </is>
      </c>
      <c r="E130" s="10" t="n">
        <v>8</v>
      </c>
    </row>
    <row r="131" ht="15.75" customHeight="1" s="32">
      <c r="A131" s="12" t="inlineStr">
        <is>
          <t>Rubens_56</t>
        </is>
      </c>
      <c r="B131" s="12" t="inlineStr">
        <is>
          <t>Rubens et al. 2025</t>
        </is>
      </c>
      <c r="C131" s="12" t="inlineStr">
        <is>
          <t>m.8344A&gt;G</t>
        </is>
      </c>
      <c r="D131" s="12" t="inlineStr">
        <is>
          <t>Оставшаяся ТЭ − биоптат</t>
        </is>
      </c>
      <c r="E131" s="12" t="n">
        <v>0</v>
      </c>
    </row>
    <row r="132" ht="15.75" customHeight="1" s="32">
      <c r="A132" s="10" t="inlineStr">
        <is>
          <t>Rubens_57</t>
        </is>
      </c>
      <c r="B132" s="10" t="inlineStr">
        <is>
          <t>Rubens et al. 2025</t>
        </is>
      </c>
      <c r="C132" s="10" t="inlineStr">
        <is>
          <t>m.8344A&gt;G</t>
        </is>
      </c>
      <c r="D132" s="10" t="inlineStr">
        <is>
          <t>ВКМ − биоптат</t>
        </is>
      </c>
      <c r="E132" s="10" t="n">
        <v>6</v>
      </c>
    </row>
    <row r="133" ht="15.75" customHeight="1" s="32">
      <c r="A133" s="12" t="inlineStr">
        <is>
          <t>Rubens_61</t>
        </is>
      </c>
      <c r="B133" s="12" t="inlineStr">
        <is>
          <t>Rubens et al. 2025</t>
        </is>
      </c>
      <c r="C133" s="12" t="inlineStr">
        <is>
          <t>m.8344A&gt;G</t>
        </is>
      </c>
      <c r="D133" s="12" t="inlineStr">
        <is>
          <t>ВКМ − биоптат</t>
        </is>
      </c>
      <c r="E133" s="12" t="n">
        <v>6</v>
      </c>
    </row>
    <row r="134" ht="15.75" customHeight="1" s="32">
      <c r="A134" s="10" t="inlineStr">
        <is>
          <t>Rubens_105</t>
        </is>
      </c>
      <c r="B134" s="10" t="inlineStr">
        <is>
          <t>Rubens et al. 2025</t>
        </is>
      </c>
      <c r="C134" s="10" t="inlineStr">
        <is>
          <t>m.8993T&gt;C</t>
        </is>
      </c>
      <c r="D134" s="10" t="inlineStr">
        <is>
          <t>Оставшаяся ТЭ − биоптат</t>
        </is>
      </c>
      <c r="E134" s="10" t="n">
        <v>4</v>
      </c>
    </row>
    <row r="135" ht="15.75" customHeight="1" s="32">
      <c r="A135" s="12" t="inlineStr">
        <is>
          <t>Tofilo_1</t>
        </is>
      </c>
      <c r="B135" s="12" t="inlineStr">
        <is>
          <t>Tofilo et al., 2026, Journal of Assisted Reproduction and Genetics, in press</t>
        </is>
      </c>
      <c r="C135" s="12" t="inlineStr">
        <is>
          <t>m.14487T&gt;C</t>
        </is>
      </c>
      <c r="D135" s="12" t="inlineStr">
        <is>
          <t>ВКМ − биоптат</t>
        </is>
      </c>
      <c r="E135" s="12" t="n">
        <v>0.799999999999999</v>
      </c>
    </row>
    <row r="136" ht="15.75" customHeight="1" s="32">
      <c r="A136" s="10" t="inlineStr">
        <is>
          <t>Tofilo_1</t>
        </is>
      </c>
      <c r="B136" s="10" t="inlineStr">
        <is>
          <t>Tofilo et al., 2026, Journal of Assisted Reproduction and Genetics, in press</t>
        </is>
      </c>
      <c r="C136" s="10" t="inlineStr">
        <is>
          <t>m.14487T&gt;C</t>
        </is>
      </c>
      <c r="D136" s="10" t="inlineStr">
        <is>
          <t>Оставшаяся ТЭ − биоптат</t>
        </is>
      </c>
      <c r="E136" s="10" t="n">
        <v>1.5</v>
      </c>
    </row>
    <row r="137" ht="15.75" customHeight="1" s="32">
      <c r="A137" s="12" t="inlineStr">
        <is>
          <t>Tofilo_2</t>
        </is>
      </c>
      <c r="B137" s="12" t="inlineStr">
        <is>
          <t>Tofilo et al., 2026, Journal of Assisted Reproduction and Genetics, in press</t>
        </is>
      </c>
      <c r="C137" s="12" t="inlineStr">
        <is>
          <t>m.14487T&gt;C</t>
        </is>
      </c>
      <c r="D137" s="12" t="inlineStr">
        <is>
          <t>ВКМ − биоптат</t>
        </is>
      </c>
      <c r="E137" s="12" t="n">
        <v>0</v>
      </c>
    </row>
    <row r="138" ht="15.75" customHeight="1" s="32">
      <c r="A138" s="10" t="inlineStr">
        <is>
          <t>Tofilo_2</t>
        </is>
      </c>
      <c r="B138" s="10" t="inlineStr">
        <is>
          <t>Tofilo et al., 2026, Journal of Assisted Reproduction and Genetics, in press</t>
        </is>
      </c>
      <c r="C138" s="10" t="inlineStr">
        <is>
          <t>m.14487T&gt;C</t>
        </is>
      </c>
      <c r="D138" s="10" t="inlineStr">
        <is>
          <t>Оставшаяся ТЭ − биоптат</t>
        </is>
      </c>
      <c r="E138" s="10" t="n">
        <v>0.400000000000006</v>
      </c>
    </row>
    <row r="139" ht="15.75" customHeight="1" s="32">
      <c r="A139" s="12" t="inlineStr">
        <is>
          <t>Tofilo_3</t>
        </is>
      </c>
      <c r="B139" s="12" t="inlineStr">
        <is>
          <t>Tofilo et al., 2026, Journal of Assisted Reproduction and Genetics, in press</t>
        </is>
      </c>
      <c r="C139" s="12" t="inlineStr">
        <is>
          <t>m.14487T&gt;C</t>
        </is>
      </c>
      <c r="D139" s="12" t="inlineStr">
        <is>
          <t>Оставшаяся ТЭ − биоптат</t>
        </is>
      </c>
      <c r="E139" s="12" t="n">
        <v>1.5</v>
      </c>
    </row>
    <row r="140" ht="15.75" customHeight="1" s="32">
      <c r="A140" s="10" t="inlineStr">
        <is>
          <t>Tofilo_4</t>
        </is>
      </c>
      <c r="B140" s="10" t="inlineStr">
        <is>
          <t>Tofilo et al., 2026, Journal of Assisted Reproduction and Genetics, in press</t>
        </is>
      </c>
      <c r="C140" s="10" t="inlineStr">
        <is>
          <t>m.14487T&gt;C</t>
        </is>
      </c>
      <c r="D140" s="10" t="inlineStr">
        <is>
          <t>Оставшаяся ТЭ − биоптат</t>
        </is>
      </c>
      <c r="E140" s="10" t="n">
        <v>-2.3</v>
      </c>
    </row>
    <row r="141" ht="15.75" customHeight="1" s="32">
      <c r="A141" s="12" t="inlineStr">
        <is>
          <t>Tofilo_5</t>
        </is>
      </c>
      <c r="B141" s="12" t="inlineStr">
        <is>
          <t>Tofilo et al., 2026, Journal of Assisted Reproduction and Genetics, in press</t>
        </is>
      </c>
      <c r="C141" s="12" t="inlineStr">
        <is>
          <t>m.14487T&gt;C</t>
        </is>
      </c>
      <c r="D141" s="12" t="inlineStr">
        <is>
          <t>ВКМ − биоптат</t>
        </is>
      </c>
      <c r="E141" s="12" t="n">
        <v>-0.900000000000006</v>
      </c>
    </row>
    <row r="142" ht="15.75" customHeight="1" s="32">
      <c r="A142" s="10" t="inlineStr">
        <is>
          <t>Tofilo_5</t>
        </is>
      </c>
      <c r="B142" s="10" t="inlineStr">
        <is>
          <t>Tofilo et al., 2026, Journal of Assisted Reproduction and Genetics, in press</t>
        </is>
      </c>
      <c r="C142" s="10" t="inlineStr">
        <is>
          <t>m.14487T&gt;C</t>
        </is>
      </c>
      <c r="D142" s="10" t="inlineStr">
        <is>
          <t>Оставшаяся ТЭ − биоптат</t>
        </is>
      </c>
      <c r="E142" s="10" t="n">
        <v>5.5</v>
      </c>
    </row>
    <row r="143" ht="15.75" customHeight="1" s="32">
      <c r="A143" s="12" t="inlineStr">
        <is>
          <t>Tofilo_6</t>
        </is>
      </c>
      <c r="B143" s="12" t="inlineStr">
        <is>
          <t>Tofilo et al., 2026, Journal of Assisted Reproduction and Genetics, in press</t>
        </is>
      </c>
      <c r="C143" s="12" t="inlineStr">
        <is>
          <t>m.14487T&gt;C</t>
        </is>
      </c>
      <c r="D143" s="12" t="inlineStr">
        <is>
          <t>ВКМ − биоптат</t>
        </is>
      </c>
      <c r="E143" s="12" t="n">
        <v>-2.1</v>
      </c>
    </row>
    <row r="144" ht="15.75" customHeight="1" s="32">
      <c r="A144" s="10" t="inlineStr">
        <is>
          <t>Tofilo_6</t>
        </is>
      </c>
      <c r="B144" s="10" t="inlineStr">
        <is>
          <t>Tofilo et al., 2026, Journal of Assisted Reproduction and Genetics, in press</t>
        </is>
      </c>
      <c r="C144" s="10" t="inlineStr">
        <is>
          <t>m.14487T&gt;C</t>
        </is>
      </c>
      <c r="D144" s="10" t="inlineStr">
        <is>
          <t>Оставшаяся ТЭ − биоптат</t>
        </is>
      </c>
      <c r="E144" s="10" t="n">
        <v>-1.6</v>
      </c>
    </row>
    <row r="145" ht="15.75" customHeight="1" s="32">
      <c r="A145" s="12" t="inlineStr">
        <is>
          <t>Treff_blastocyst_1</t>
        </is>
      </c>
      <c r="B145" s="12" t="inlineStr">
        <is>
          <t>Treff et al. 2012</t>
        </is>
      </c>
      <c r="C145" s="12" t="inlineStr">
        <is>
          <t>m.3243A&gt;G</t>
        </is>
      </c>
      <c r="D145" s="12" t="inlineStr">
        <is>
          <t>ВКМ − биоптат</t>
        </is>
      </c>
      <c r="E145" s="12" t="n">
        <v>1.33333333333333</v>
      </c>
    </row>
    <row r="146" ht="15.75" customHeight="1" s="32">
      <c r="A146" s="10" t="inlineStr">
        <is>
          <t>Treff_blastocyst_2</t>
        </is>
      </c>
      <c r="B146" s="10" t="inlineStr">
        <is>
          <t>Treff et al. 2012</t>
        </is>
      </c>
      <c r="C146" s="10" t="inlineStr">
        <is>
          <t>m.3243A&gt;G</t>
        </is>
      </c>
      <c r="D146" s="10" t="inlineStr">
        <is>
          <t>ВКМ − биоптат</t>
        </is>
      </c>
      <c r="E146" s="10" t="n">
        <v>-0.666666666666671</v>
      </c>
    </row>
    <row r="147" ht="15.75" customHeight="1" s="32">
      <c r="A147" s="12" t="inlineStr">
        <is>
          <t>Treff_blastocyst_3</t>
        </is>
      </c>
      <c r="B147" s="12" t="inlineStr">
        <is>
          <t>Treff et al. 2012</t>
        </is>
      </c>
      <c r="C147" s="12" t="inlineStr">
        <is>
          <t>m.3243A&gt;G</t>
        </is>
      </c>
      <c r="D147" s="12" t="inlineStr">
        <is>
          <t>ВКМ − биоптат</t>
        </is>
      </c>
      <c r="E147" s="12" t="n">
        <v>-6.25</v>
      </c>
    </row>
    <row r="148" ht="15.75" customHeight="1" s="32">
      <c r="A148" s="10" t="inlineStr">
        <is>
          <t>Treff_blastocyst_4</t>
        </is>
      </c>
      <c r="B148" s="10" t="inlineStr">
        <is>
          <t>Treff et al. 2012</t>
        </is>
      </c>
      <c r="C148" s="10" t="inlineStr">
        <is>
          <t>m.3243A&gt;G</t>
        </is>
      </c>
      <c r="D148" s="10" t="inlineStr">
        <is>
          <t>ВКМ − биоптат</t>
        </is>
      </c>
      <c r="E148" s="10" t="n">
        <v>2.66666666666667</v>
      </c>
    </row>
    <row r="149" ht="15.75" customHeight="1" s="32">
      <c r="A149" s="12" t="inlineStr">
        <is>
          <t>Treff_blastocyst_5</t>
        </is>
      </c>
      <c r="B149" s="12" t="inlineStr">
        <is>
          <t>Treff et al. 2012</t>
        </is>
      </c>
      <c r="C149" s="12" t="inlineStr">
        <is>
          <t>m.3243A&gt;G</t>
        </is>
      </c>
      <c r="D149" s="12" t="inlineStr">
        <is>
          <t>ВКМ − биоптат</t>
        </is>
      </c>
      <c r="E149" s="12" t="n">
        <v>1.58333333333333</v>
      </c>
    </row>
    <row r="150" ht="15.75" customHeight="1" s="32">
      <c r="A150" s="10" t="inlineStr">
        <is>
          <t>Treff_blastocyst_6</t>
        </is>
      </c>
      <c r="B150" s="10" t="inlineStr">
        <is>
          <t>Treff et al. 2012</t>
        </is>
      </c>
      <c r="C150" s="10" t="inlineStr">
        <is>
          <t>m.3243A&gt;G</t>
        </is>
      </c>
      <c r="D150" s="10" t="inlineStr">
        <is>
          <t>ВКМ − биоптат</t>
        </is>
      </c>
      <c r="E150" s="10" t="n">
        <v>3</v>
      </c>
    </row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4">
    <mergeCell ref="A2:E2"/>
    <mergeCell ref="A97:E97"/>
    <mergeCell ref="A1:E1"/>
    <mergeCell ref="A98:E98"/>
  </mergeCell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7B2C2C"/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ColWidth="12.63" defaultRowHeight="15" customHeight="1"/>
  <cols>
    <col width="10" customWidth="1" style="32" min="1" max="1"/>
    <col width="26" customWidth="1" style="32" min="2" max="2"/>
    <col width="16" customWidth="1" style="32" min="3" max="3"/>
    <col width="22" customWidth="1" style="32" min="4" max="4"/>
    <col width="18" customWidth="1" style="32" min="5" max="5"/>
    <col width="46" customWidth="1" style="32" min="6" max="6"/>
    <col width="22" customWidth="1" style="32" min="7" max="7"/>
    <col width="20" customWidth="1" style="32" min="8" max="8"/>
    <col width="22" customWidth="1" style="32" min="9" max="9"/>
    <col width="34" customWidth="1" style="32" min="10" max="10"/>
    <col width="18" customWidth="1" style="32" min="11" max="11"/>
    <col width="20" customWidth="1" style="32" min="12" max="12"/>
    <col width="8.630000000000001" customWidth="1" style="32" min="13" max="26"/>
  </cols>
  <sheetData>
    <row r="1" ht="21.75" customHeight="1" s="32">
      <c r="A1" s="37" t="inlineStr">
        <is>
          <t>Рисунок 5 — Соответствие гетероплазмии эмбриона и тканей плода или ребёнка</t>
        </is>
      </c>
    </row>
    <row r="2" ht="61.5" customHeight="1" s="32">
      <c r="A2" s="38" t="inlineStr">
        <is>
          <t>Строки 4–26 образуют количественный набор: 23 записи, относящиеся к 8 клиническим случаям; 22 точные числовые пары показаны на графике, а запись C5d с результатом крови &lt;10% является дополнительной цензурированной серией и не нанесена. Несколько записей относятся к разным тканям или срокам наблюдения одного ребёнка и не являются независимыми клиническими случаями. Значение 0 на графике означает отсутствие детекции использованным методом, а не доказанный молекулярный ноль. C13 m.10197G&gt;A сохранён ниже отдельно как качественное наблюдение и не входит в количественный набор точных пар.</t>
        </is>
      </c>
    </row>
    <row r="3" ht="30" customHeight="1" s="32">
      <c r="A3" s="14" t="inlineStr">
        <is>
          <t>Case ID</t>
        </is>
      </c>
      <c r="B3" s="14" t="inlineStr">
        <is>
          <t>Источник</t>
        </is>
      </c>
      <c r="C3" s="14" t="inlineStr">
        <is>
          <t>Вариант мтДНК</t>
        </is>
      </c>
      <c r="D3" s="14" t="inlineStr">
        <is>
          <t>Гетероплазмия эмбриона, %</t>
        </is>
      </c>
      <c r="E3" s="14" t="inlineStr">
        <is>
          <t>Этап наблюдения</t>
        </is>
      </c>
      <c r="F3" s="14" t="inlineStr">
        <is>
          <t>Материал плода/ребёнка</t>
        </is>
      </c>
      <c r="G3" s="14" t="inlineStr">
        <is>
          <t>Гетероплазмия плода/ребёнка, %</t>
        </is>
      </c>
      <c r="H3" s="14" t="inlineStr">
        <is>
          <t>Δ (ткань − эмбрион), п.п.</t>
        </is>
      </c>
      <c r="I3" s="9" t="inlineStr">
        <is>
          <t>Возраст на момент анализа</t>
        </is>
      </c>
      <c r="J3" s="9" t="inlineStr">
        <is>
          <t>Метод</t>
        </is>
      </c>
      <c r="K3" s="9" t="inlineStr">
        <is>
          <t>Клинический случай</t>
        </is>
      </c>
      <c r="L3" s="9" t="inlineStr">
        <is>
          <t>На графике</t>
        </is>
      </c>
    </row>
    <row r="4" s="32">
      <c r="A4" s="10" t="inlineStr">
        <is>
          <t>C12a</t>
        </is>
      </c>
      <c r="B4" s="10" t="inlineStr">
        <is>
          <t>Ji et al., 2021</t>
        </is>
      </c>
      <c r="C4" s="10" t="inlineStr">
        <is>
          <t>m.3697G&gt;A</t>
        </is>
      </c>
      <c r="D4" s="10" t="n">
        <v>53.9</v>
      </c>
      <c r="E4" s="10" t="inlineStr">
        <is>
          <t>пренатальный</t>
        </is>
      </c>
      <c r="F4" s="10" t="inlineStr">
        <is>
          <t>амниотическая жидкость</t>
        </is>
      </c>
      <c r="G4" s="10" t="n">
        <v>49.7</v>
      </c>
      <c r="H4" s="10">
        <f>G4-D4</f>
        <v/>
      </c>
      <c r="K4" s="13" t="inlineStr">
        <is>
          <t>C12</t>
        </is>
      </c>
      <c r="L4" s="13" t="inlineStr">
        <is>
          <t>да</t>
        </is>
      </c>
    </row>
    <row r="5" s="32">
      <c r="A5" s="12" t="inlineStr">
        <is>
          <t>C12b</t>
        </is>
      </c>
      <c r="B5" s="12" t="inlineStr">
        <is>
          <t>Ji et al., 2021</t>
        </is>
      </c>
      <c r="C5" s="12" t="inlineStr">
        <is>
          <t>m.3697G&gt;A</t>
        </is>
      </c>
      <c r="D5" s="12" t="n">
        <v>53.9</v>
      </c>
      <c r="E5" s="12" t="inlineStr">
        <is>
          <t>пренатальный</t>
        </is>
      </c>
      <c r="F5" s="12" t="inlineStr">
        <is>
          <t>ткани плода (среднее)</t>
        </is>
      </c>
      <c r="G5" s="12" t="n">
        <v>47.7</v>
      </c>
      <c r="H5" s="12">
        <f>G5-D5</f>
        <v/>
      </c>
      <c r="K5" s="13" t="inlineStr">
        <is>
          <t>C12</t>
        </is>
      </c>
      <c r="L5" s="13" t="inlineStr">
        <is>
          <t>да</t>
        </is>
      </c>
    </row>
    <row r="6" s="32">
      <c r="A6" s="10" t="inlineStr">
        <is>
          <t>C1a</t>
        </is>
      </c>
      <c r="B6" s="10" t="inlineStr">
        <is>
          <t>Steffann et al., 2006</t>
        </is>
      </c>
      <c r="C6" s="10" t="inlineStr">
        <is>
          <t>m.8993T&gt;G</t>
        </is>
      </c>
      <c r="D6" s="10" t="n">
        <v>0</v>
      </c>
      <c r="E6" s="10" t="inlineStr">
        <is>
          <t>пренатальный</t>
        </is>
      </c>
      <c r="F6" s="10" t="inlineStr">
        <is>
          <t>амниотическая жидкость</t>
        </is>
      </c>
      <c r="G6" s="10" t="n">
        <v>0</v>
      </c>
      <c r="H6" s="10">
        <f>G6-D6</f>
        <v/>
      </c>
      <c r="K6" s="13" t="inlineStr">
        <is>
          <t>C1</t>
        </is>
      </c>
      <c r="L6" s="13" t="inlineStr">
        <is>
          <t>да</t>
        </is>
      </c>
    </row>
    <row r="7" s="32">
      <c r="A7" s="12" t="inlineStr">
        <is>
          <t>C1b</t>
        </is>
      </c>
      <c r="B7" s="12" t="inlineStr">
        <is>
          <t>Steffann et al., 2006</t>
        </is>
      </c>
      <c r="C7" s="12" t="inlineStr">
        <is>
          <t>m.8993T&gt;G</t>
        </is>
      </c>
      <c r="D7" s="12" t="n">
        <v>0</v>
      </c>
      <c r="E7" s="12" t="inlineStr">
        <is>
          <t>постнатальный</t>
        </is>
      </c>
      <c r="F7" s="12" t="inlineStr">
        <is>
          <t>пуповинная кровь</t>
        </is>
      </c>
      <c r="G7" s="12" t="n">
        <v>0</v>
      </c>
      <c r="H7" s="12">
        <f>G7-D7</f>
        <v/>
      </c>
      <c r="K7" s="13" t="inlineStr">
        <is>
          <t>C1</t>
        </is>
      </c>
      <c r="L7" s="13" t="inlineStr">
        <is>
          <t>да</t>
        </is>
      </c>
    </row>
    <row r="8" s="32">
      <c r="A8" s="10" t="inlineStr">
        <is>
          <t>C2</t>
        </is>
      </c>
      <c r="B8" s="10" t="inlineStr">
        <is>
          <t>Thorburn / Stock-Myer et al., 2009</t>
        </is>
      </c>
      <c r="C8" s="10" t="inlineStr">
        <is>
          <t>m.8993T&gt;G</t>
        </is>
      </c>
      <c r="D8" s="10" t="n">
        <v>2.5</v>
      </c>
      <c r="E8" s="10" t="inlineStr">
        <is>
          <t>постнатальный</t>
        </is>
      </c>
      <c r="F8" s="10" t="inlineStr">
        <is>
          <t>пуповинная кровь</t>
        </is>
      </c>
      <c r="G8" s="10" t="n">
        <v>4</v>
      </c>
      <c r="H8" s="10">
        <f>G8-D8</f>
        <v/>
      </c>
      <c r="K8" s="13" t="inlineStr">
        <is>
          <t>C2</t>
        </is>
      </c>
      <c r="L8" s="13" t="inlineStr">
        <is>
          <t>да</t>
        </is>
      </c>
    </row>
    <row r="9" s="32">
      <c r="A9" s="12" t="inlineStr">
        <is>
          <t>C3</t>
        </is>
      </c>
      <c r="B9" s="12" t="inlineStr">
        <is>
          <t>Sallevelt et al., 2013</t>
        </is>
      </c>
      <c r="C9" s="12" t="inlineStr">
        <is>
          <t>m.8993T&gt;G</t>
        </is>
      </c>
      <c r="D9" s="12" t="n">
        <v>0</v>
      </c>
      <c r="E9" s="12" t="inlineStr">
        <is>
          <t>постнатальный</t>
        </is>
      </c>
      <c r="F9" s="12" t="inlineStr">
        <is>
          <t>пуповинная кровь</t>
        </is>
      </c>
      <c r="G9" s="12" t="n">
        <v>0</v>
      </c>
      <c r="H9" s="12">
        <f>G9-D9</f>
        <v/>
      </c>
      <c r="K9" s="13" t="inlineStr">
        <is>
          <t>C3</t>
        </is>
      </c>
      <c r="L9" s="13" t="inlineStr">
        <is>
          <t>да</t>
        </is>
      </c>
    </row>
    <row r="10" s="32">
      <c r="A10" s="10" t="inlineStr">
        <is>
          <t>C5a</t>
        </is>
      </c>
      <c r="B10" s="10" t="inlineStr">
        <is>
          <t>Treff et al., 2012</t>
        </is>
      </c>
      <c r="C10" s="10" t="inlineStr">
        <is>
          <t>m.3243A&gt;G</t>
        </is>
      </c>
      <c r="D10" s="10" t="n">
        <v>12</v>
      </c>
      <c r="E10" s="10" t="inlineStr">
        <is>
          <t>постнатальный</t>
        </is>
      </c>
      <c r="F10" s="10" t="inlineStr">
        <is>
          <t>буккальный эпителий</t>
        </is>
      </c>
      <c r="G10" s="10" t="n">
        <v>15</v>
      </c>
      <c r="H10" s="10">
        <f>G10-D10</f>
        <v/>
      </c>
      <c r="I10" s="13" t="inlineStr">
        <is>
          <t>1 мес</t>
        </is>
      </c>
      <c r="J10" s="13" t="inlineStr">
        <is>
          <t>количественный анализ, разработанный в [24]</t>
        </is>
      </c>
      <c r="K10" s="13" t="inlineStr">
        <is>
          <t>C5</t>
        </is>
      </c>
      <c r="L10" s="13" t="inlineStr">
        <is>
          <t>да</t>
        </is>
      </c>
    </row>
    <row r="11" s="32">
      <c r="A11" s="12" t="inlineStr">
        <is>
          <t>C6a</t>
        </is>
      </c>
      <c r="B11" s="12" t="inlineStr">
        <is>
          <t>Heindryckx et al., 2014</t>
        </is>
      </c>
      <c r="C11" s="12" t="inlineStr">
        <is>
          <t>m.3243A&gt;G</t>
        </is>
      </c>
      <c r="D11" s="12" t="n">
        <v>0</v>
      </c>
      <c r="E11" s="12" t="inlineStr">
        <is>
          <t>постнатальный</t>
        </is>
      </c>
      <c r="F11" s="12" t="inlineStr">
        <is>
          <t>буккальный мазок</t>
        </is>
      </c>
      <c r="G11" s="12" t="n">
        <v>0</v>
      </c>
      <c r="H11" s="12">
        <f>G11-D11</f>
        <v/>
      </c>
      <c r="K11" s="13" t="inlineStr">
        <is>
          <t>C6</t>
        </is>
      </c>
      <c r="L11" s="13" t="inlineStr">
        <is>
          <t>да</t>
        </is>
      </c>
    </row>
    <row r="12" s="32">
      <c r="A12" s="10" t="inlineStr">
        <is>
          <t>C6b</t>
        </is>
      </c>
      <c r="B12" s="10" t="inlineStr">
        <is>
          <t>Heindryckx et al., 2014</t>
        </is>
      </c>
      <c r="C12" s="10" t="inlineStr">
        <is>
          <t>m.3243A&gt;G</t>
        </is>
      </c>
      <c r="D12" s="10" t="n">
        <v>0</v>
      </c>
      <c r="E12" s="10" t="inlineStr">
        <is>
          <t>постнатальный</t>
        </is>
      </c>
      <c r="F12" s="10" t="inlineStr">
        <is>
          <t>кровь</t>
        </is>
      </c>
      <c r="G12" s="10" t="n">
        <v>0</v>
      </c>
      <c r="H12" s="10">
        <f>G12-D12</f>
        <v/>
      </c>
      <c r="K12" s="13" t="inlineStr">
        <is>
          <t>C6</t>
        </is>
      </c>
      <c r="L12" s="13" t="inlineStr">
        <is>
          <t>да</t>
        </is>
      </c>
    </row>
    <row r="13" s="32">
      <c r="A13" s="12" t="inlineStr">
        <is>
          <t>C6c</t>
        </is>
      </c>
      <c r="B13" s="12" t="inlineStr">
        <is>
          <t>Heindryckx et al., 2014</t>
        </is>
      </c>
      <c r="C13" s="12" t="inlineStr">
        <is>
          <t>m.3243A&gt;G</t>
        </is>
      </c>
      <c r="D13" s="12" t="n">
        <v>0</v>
      </c>
      <c r="E13" s="12" t="inlineStr">
        <is>
          <t>постнатальный</t>
        </is>
      </c>
      <c r="F13" s="12" t="inlineStr">
        <is>
          <t>моча</t>
        </is>
      </c>
      <c r="G13" s="12" t="n">
        <v>0</v>
      </c>
      <c r="H13" s="12">
        <f>G13-D13</f>
        <v/>
      </c>
      <c r="K13" s="13" t="inlineStr">
        <is>
          <t>C6</t>
        </is>
      </c>
      <c r="L13" s="13" t="inlineStr">
        <is>
          <t>да</t>
        </is>
      </c>
    </row>
    <row r="14" s="32">
      <c r="A14" s="10" t="inlineStr">
        <is>
          <t>C9a</t>
        </is>
      </c>
      <c r="B14" s="10" t="inlineStr">
        <is>
          <t>Spath et al., 2021, patient B</t>
        </is>
      </c>
      <c r="C14" s="10" t="inlineStr">
        <is>
          <t>m.8993T&gt;G</t>
        </is>
      </c>
      <c r="D14" s="10" t="n">
        <v>0</v>
      </c>
      <c r="E14" s="10" t="inlineStr">
        <is>
          <t>постнатальный</t>
        </is>
      </c>
      <c r="F14" s="10" t="inlineStr">
        <is>
          <t>пуповинная кровь</t>
        </is>
      </c>
      <c r="G14" s="10" t="n">
        <v>0</v>
      </c>
      <c r="H14" s="10">
        <f>G14-D14</f>
        <v/>
      </c>
      <c r="K14" s="13" t="inlineStr">
        <is>
          <t>C9</t>
        </is>
      </c>
      <c r="L14" s="13" t="inlineStr">
        <is>
          <t>да</t>
        </is>
      </c>
    </row>
    <row r="15" s="32">
      <c r="A15" s="12" t="inlineStr">
        <is>
          <t>C9b</t>
        </is>
      </c>
      <c r="B15" s="12" t="inlineStr">
        <is>
          <t>Spath et al., 2021, patient B</t>
        </is>
      </c>
      <c r="C15" s="12" t="inlineStr">
        <is>
          <t>m.8993T&gt;G</t>
        </is>
      </c>
      <c r="D15" s="12" t="n">
        <v>0</v>
      </c>
      <c r="E15" s="12" t="inlineStr">
        <is>
          <t>постнатальный</t>
        </is>
      </c>
      <c r="F15" s="12" t="inlineStr">
        <is>
          <t>буккальный мазок</t>
        </is>
      </c>
      <c r="G15" s="12" t="n">
        <v>0</v>
      </c>
      <c r="H15" s="12">
        <f>G15-D15</f>
        <v/>
      </c>
      <c r="K15" s="13" t="inlineStr">
        <is>
          <t>C9</t>
        </is>
      </c>
      <c r="L15" s="13" t="inlineStr">
        <is>
          <t>да</t>
        </is>
      </c>
    </row>
    <row r="16" s="32">
      <c r="A16" s="13" t="inlineStr">
        <is>
          <t>C5b</t>
        </is>
      </c>
      <c r="B16" s="13" t="inlineStr">
        <is>
          <t>Treff et al., 2012</t>
        </is>
      </c>
      <c r="C16" s="13" t="inlineStr">
        <is>
          <t>m.3243A&gt;G</t>
        </is>
      </c>
      <c r="D16" s="13" t="n">
        <v>12</v>
      </c>
      <c r="E16" s="13" t="inlineStr">
        <is>
          <t>постнатальный</t>
        </is>
      </c>
      <c r="F16" s="13" t="inlineStr">
        <is>
          <t>буккальный мазок (коммерческая лаборатория)</t>
        </is>
      </c>
      <c r="G16" s="13" t="n">
        <v>0</v>
      </c>
      <c r="H16" s="13">
        <f>G16-D16</f>
        <v/>
      </c>
      <c r="I16" s="13" t="inlineStr">
        <is>
          <t>5 и 12 мес (серия исследований; отдельные ткани к конкретному сроку не привязаны)</t>
        </is>
      </c>
      <c r="J16" s="13" t="inlineStr">
        <is>
          <t>коммерческий анализ, метод не указан</t>
        </is>
      </c>
      <c r="K16" s="13" t="inlineStr">
        <is>
          <t>C5</t>
        </is>
      </c>
      <c r="L16" s="13" t="inlineStr">
        <is>
          <t>да</t>
        </is>
      </c>
    </row>
    <row r="17" s="32">
      <c r="A17" s="13" t="inlineStr">
        <is>
          <t>C5c</t>
        </is>
      </c>
      <c r="B17" s="13" t="inlineStr">
        <is>
          <t>Treff et al., 2012</t>
        </is>
      </c>
      <c r="C17" s="13" t="inlineStr">
        <is>
          <t>m.3243A&gt;G</t>
        </is>
      </c>
      <c r="D17" s="13" t="n">
        <v>12</v>
      </c>
      <c r="E17" s="13" t="inlineStr">
        <is>
          <t>постнатальный</t>
        </is>
      </c>
      <c r="F17" s="13" t="inlineStr">
        <is>
          <t>осадок мочи (коммерческая лаборатория)</t>
        </is>
      </c>
      <c r="G17" s="13" t="n">
        <v>0</v>
      </c>
      <c r="H17" s="13">
        <f>G17-D17</f>
        <v/>
      </c>
      <c r="I17" s="13" t="inlineStr">
        <is>
          <t>5 и 12 мес (серия исследований; отдельные ткани к конкретному сроку не привязаны)</t>
        </is>
      </c>
      <c r="J17" s="13" t="inlineStr">
        <is>
          <t>коммерческий анализ, метод не указан</t>
        </is>
      </c>
      <c r="K17" s="13" t="inlineStr">
        <is>
          <t>C5</t>
        </is>
      </c>
      <c r="L17" s="13" t="inlineStr">
        <is>
          <t>да</t>
        </is>
      </c>
    </row>
    <row r="18" s="32">
      <c r="A18" s="13" t="inlineStr">
        <is>
          <t>C5d</t>
        </is>
      </c>
      <c r="B18" s="13" t="inlineStr">
        <is>
          <t>Treff et al., 2012</t>
        </is>
      </c>
      <c r="C18" s="13" t="inlineStr">
        <is>
          <t>m.3243A&gt;G</t>
        </is>
      </c>
      <c r="D18" s="13" t="n">
        <v>12</v>
      </c>
      <c r="E18" s="13" t="inlineStr">
        <is>
          <t>постнатальный</t>
        </is>
      </c>
      <c r="F18" s="13" t="inlineStr">
        <is>
          <t>кровь (менее 10%; цензурированное значение)</t>
        </is>
      </c>
      <c r="H18" s="13" t="inlineStr">
        <is>
          <t>не применимо</t>
        </is>
      </c>
      <c r="I18" s="13" t="inlineStr">
        <is>
          <t>5 и 12 мес</t>
        </is>
      </c>
      <c r="J18" s="13" t="inlineStr">
        <is>
          <t>коммерческий анализ, метод не указан</t>
        </is>
      </c>
      <c r="K18" s="13" t="inlineStr">
        <is>
          <t>C5</t>
        </is>
      </c>
      <c r="L18" s="13" t="inlineStr">
        <is>
          <t>нет — цензурировано</t>
        </is>
      </c>
    </row>
    <row r="19" s="32">
      <c r="A19" s="13" t="inlineStr">
        <is>
          <t>C5e</t>
        </is>
      </c>
      <c r="B19" s="13" t="inlineStr">
        <is>
          <t>Mitalipov et al., 2014</t>
        </is>
      </c>
      <c r="C19" s="13" t="inlineStr">
        <is>
          <t>m.3243A&gt;G</t>
        </is>
      </c>
      <c r="D19" s="13" t="n">
        <v>12</v>
      </c>
      <c r="E19" s="13" t="inlineStr">
        <is>
          <t>постнатальный</t>
        </is>
      </c>
      <c r="F19" s="13" t="inlineStr">
        <is>
          <t>кровь</t>
        </is>
      </c>
      <c r="G19" s="13" t="n">
        <v>47</v>
      </c>
      <c r="H19" s="13">
        <f>G19-D19</f>
        <v/>
      </c>
      <c r="I19" s="13" t="inlineStr">
        <is>
          <t>6 нед</t>
        </is>
      </c>
      <c r="J19" s="13" t="inlineStr">
        <is>
          <t>ARMS-qPCR, CLIA-лаборатория</t>
        </is>
      </c>
      <c r="K19" s="13" t="inlineStr">
        <is>
          <t>C5</t>
        </is>
      </c>
      <c r="L19" s="13" t="inlineStr">
        <is>
          <t>да</t>
        </is>
      </c>
    </row>
    <row r="20" s="32">
      <c r="A20" s="13" t="inlineStr">
        <is>
          <t>C5f</t>
        </is>
      </c>
      <c r="B20" s="13" t="inlineStr">
        <is>
          <t>Mitalipov et al., 2014</t>
        </is>
      </c>
      <c r="C20" s="13" t="inlineStr">
        <is>
          <t>m.3243A&gt;G</t>
        </is>
      </c>
      <c r="D20" s="13" t="n">
        <v>12</v>
      </c>
      <c r="E20" s="13" t="inlineStr">
        <is>
          <t>постнатальный</t>
        </is>
      </c>
      <c r="F20" s="13" t="inlineStr">
        <is>
          <t>кровь</t>
        </is>
      </c>
      <c r="G20" s="13" t="n">
        <v>46</v>
      </c>
      <c r="H20" s="13">
        <f>G20-D20</f>
        <v/>
      </c>
      <c r="I20" s="13" t="inlineStr">
        <is>
          <t>18 мес</t>
        </is>
      </c>
      <c r="J20" s="13" t="inlineStr">
        <is>
          <t>ARMS-qPCR, CLIA-лаборатория</t>
        </is>
      </c>
      <c r="K20" s="13" t="inlineStr">
        <is>
          <t>C5</t>
        </is>
      </c>
      <c r="L20" s="13" t="inlineStr">
        <is>
          <t>да</t>
        </is>
      </c>
    </row>
    <row r="21" ht="15.75" customHeight="1" s="32">
      <c r="A21" s="13" t="inlineStr">
        <is>
          <t>C5g</t>
        </is>
      </c>
      <c r="B21" s="13" t="inlineStr">
        <is>
          <t>Mitalipov et al., 2014</t>
        </is>
      </c>
      <c r="C21" s="13" t="inlineStr">
        <is>
          <t>m.3243A&gt;G</t>
        </is>
      </c>
      <c r="D21" s="13" t="n">
        <v>12</v>
      </c>
      <c r="E21" s="13" t="inlineStr">
        <is>
          <t>постнатальный</t>
        </is>
      </c>
      <c r="F21" s="13" t="inlineStr">
        <is>
          <t>моча</t>
        </is>
      </c>
      <c r="G21" s="13" t="n">
        <v>52</v>
      </c>
      <c r="H21" s="13">
        <f>G21-D21</f>
        <v/>
      </c>
      <c r="I21" s="13" t="inlineStr">
        <is>
          <t>6 нед</t>
        </is>
      </c>
      <c r="J21" s="13" t="inlineStr">
        <is>
          <t>ARMS-qPCR, CLIA-лаборатория</t>
        </is>
      </c>
      <c r="K21" s="13" t="inlineStr">
        <is>
          <t>C5</t>
        </is>
      </c>
      <c r="L21" s="13" t="inlineStr">
        <is>
          <t>да</t>
        </is>
      </c>
    </row>
    <row r="22" ht="15.75" customHeight="1" s="32">
      <c r="A22" s="13" t="inlineStr">
        <is>
          <t>C5h</t>
        </is>
      </c>
      <c r="B22" s="13" t="inlineStr">
        <is>
          <t>Mitalipov et al., 2014</t>
        </is>
      </c>
      <c r="C22" s="13" t="inlineStr">
        <is>
          <t>m.3243A&gt;G</t>
        </is>
      </c>
      <c r="D22" s="13" t="n">
        <v>12</v>
      </c>
      <c r="E22" s="13" t="inlineStr">
        <is>
          <t>постнатальный</t>
        </is>
      </c>
      <c r="F22" s="13" t="inlineStr">
        <is>
          <t>моча</t>
        </is>
      </c>
      <c r="G22" s="13" t="n">
        <v>42</v>
      </c>
      <c r="H22" s="13">
        <f>G22-D22</f>
        <v/>
      </c>
      <c r="I22" s="13" t="inlineStr">
        <is>
          <t>18 мес</t>
        </is>
      </c>
      <c r="J22" s="13" t="inlineStr">
        <is>
          <t>ARMS-qPCR, CLIA-лаборатория</t>
        </is>
      </c>
      <c r="K22" s="13" t="inlineStr">
        <is>
          <t>C5</t>
        </is>
      </c>
      <c r="L22" s="13" t="inlineStr">
        <is>
          <t>да</t>
        </is>
      </c>
    </row>
    <row r="23" ht="15.75" customHeight="1" s="32">
      <c r="A23" s="13" t="inlineStr">
        <is>
          <t>C14a</t>
        </is>
      </c>
      <c r="B23" s="13" t="inlineStr">
        <is>
          <t>Hu et al., 2026</t>
        </is>
      </c>
      <c r="C23" s="13" t="inlineStr">
        <is>
          <t>m.3250T&gt;C</t>
        </is>
      </c>
      <c r="D23" s="13" t="n">
        <v>1.8</v>
      </c>
      <c r="E23" s="13" t="inlineStr">
        <is>
          <t>пренатальный</t>
        </is>
      </c>
      <c r="F23" s="13" t="inlineStr">
        <is>
          <t>амниотическая жидкость</t>
        </is>
      </c>
      <c r="G23" s="13" t="n">
        <v>1.5</v>
      </c>
      <c r="H23" s="13">
        <f>G23-D23</f>
        <v/>
      </c>
      <c r="I23" s="13" t="inlineStr">
        <is>
          <t>18 нед гестации</t>
        </is>
      </c>
      <c r="J23" s="13" t="inlineStr">
        <is>
          <t>таргетная ПЦР + NGS (Illumina), порог 1,0%</t>
        </is>
      </c>
      <c r="K23" s="13" t="inlineStr">
        <is>
          <t>C14</t>
        </is>
      </c>
      <c r="L23" s="13" t="inlineStr">
        <is>
          <t>да</t>
        </is>
      </c>
    </row>
    <row r="24" ht="15.75" customHeight="1" s="32">
      <c r="A24" s="13" t="inlineStr">
        <is>
          <t>C14b</t>
        </is>
      </c>
      <c r="B24" s="13" t="inlineStr">
        <is>
          <t>Hu et al., 2026</t>
        </is>
      </c>
      <c r="C24" s="13" t="inlineStr">
        <is>
          <t>m.3250T&gt;C</t>
        </is>
      </c>
      <c r="D24" s="13" t="n">
        <v>1.8</v>
      </c>
      <c r="E24" s="13" t="inlineStr">
        <is>
          <t>постнатальный</t>
        </is>
      </c>
      <c r="F24" s="13" t="inlineStr">
        <is>
          <t>пуповинная кровь</t>
        </is>
      </c>
      <c r="G24" s="13" t="n">
        <v>0</v>
      </c>
      <c r="H24" s="13">
        <f>G24-D24</f>
        <v/>
      </c>
      <c r="I24" s="13" t="inlineStr">
        <is>
          <t>при рождении</t>
        </is>
      </c>
      <c r="J24" s="13" t="inlineStr">
        <is>
          <t>таргетная ПЦР + NGS (Illumina), порог 1,0%</t>
        </is>
      </c>
      <c r="K24" s="13" t="inlineStr">
        <is>
          <t>C14</t>
        </is>
      </c>
      <c r="L24" s="13" t="inlineStr">
        <is>
          <t>да</t>
        </is>
      </c>
    </row>
    <row r="25" ht="15.75" customHeight="1" s="32">
      <c r="A25" s="13" t="inlineStr">
        <is>
          <t>C14c</t>
        </is>
      </c>
      <c r="B25" s="13" t="inlineStr">
        <is>
          <t>Hu et al., 2026</t>
        </is>
      </c>
      <c r="C25" s="13" t="inlineStr">
        <is>
          <t>m.3250T&gt;C</t>
        </is>
      </c>
      <c r="D25" s="13" t="n">
        <v>1.8</v>
      </c>
      <c r="E25" s="13" t="inlineStr">
        <is>
          <t>постнатальный</t>
        </is>
      </c>
      <c r="F25" s="13" t="inlineStr">
        <is>
          <t>кровь</t>
        </is>
      </c>
      <c r="G25" s="13" t="n">
        <v>0</v>
      </c>
      <c r="H25" s="13">
        <f>G25-D25</f>
        <v/>
      </c>
      <c r="I25" s="13" t="inlineStr">
        <is>
          <t>2 года</t>
        </is>
      </c>
      <c r="J25" s="13" t="inlineStr">
        <is>
          <t>таргетная ПЦР + NGS (Illumina), порог 1,0%</t>
        </is>
      </c>
      <c r="K25" s="13" t="inlineStr">
        <is>
          <t>C14</t>
        </is>
      </c>
      <c r="L25" s="13" t="inlineStr">
        <is>
          <t>да</t>
        </is>
      </c>
    </row>
    <row r="26" ht="15.75" customHeight="1" s="32">
      <c r="A26" s="13" t="inlineStr">
        <is>
          <t>C14d</t>
        </is>
      </c>
      <c r="B26" s="13" t="inlineStr">
        <is>
          <t>Hu et al., 2026</t>
        </is>
      </c>
      <c r="C26" s="13" t="inlineStr">
        <is>
          <t>m.3250T&gt;C</t>
        </is>
      </c>
      <c r="D26" s="13" t="n">
        <v>1.8</v>
      </c>
      <c r="E26" s="13" t="inlineStr">
        <is>
          <t>постнатальный</t>
        </is>
      </c>
      <c r="F26" s="13" t="inlineStr">
        <is>
          <t>буккальный эпителий</t>
        </is>
      </c>
      <c r="G26" s="13" t="n">
        <v>0</v>
      </c>
      <c r="H26" s="13">
        <f>G26-D26</f>
        <v/>
      </c>
      <c r="I26" s="13" t="inlineStr">
        <is>
          <t>2 года</t>
        </is>
      </c>
      <c r="J26" s="13" t="inlineStr">
        <is>
          <t>таргетная ПЦР + NGS (Illumina), порог 1,0%</t>
        </is>
      </c>
      <c r="K26" s="13" t="inlineStr">
        <is>
          <t>C14</t>
        </is>
      </c>
      <c r="L26" s="13" t="inlineStr">
        <is>
          <t>да</t>
        </is>
      </c>
    </row>
    <row r="27" ht="15.75" customHeight="1" s="32"/>
    <row r="28" ht="15.75" customHeight="1" s="32"/>
    <row r="29" ht="15.75" customHeight="1" s="32">
      <c r="A29" s="9" t="inlineStr">
        <is>
          <t>Критерии включения в рис. 5:</t>
        </is>
      </c>
    </row>
    <row r="30" ht="15.75" customHeight="1" s="32">
      <c r="A30" s="13" t="inlineStr">
        <is>
          <t>В количественный набор включали случаи с однозначно известным числовым уровнем гетероплазмии перенесённого эмбриона; повторные ткани и сроки одного ребёнка сохраняли как зависимые повторные записи, а цензурированные результаты отмечали отдельно.</t>
        </is>
      </c>
    </row>
    <row r="31" ht="15.75" customHeight="1" s="32">
      <c r="A31" s="13" t="inlineStr">
        <is>
          <t>Случай m.14487T&gt;C [27] не включён: перенесены два эмбриона с различающимися измеренными значениями, и ребёнка нельзя однозначно связать ни с одним из них.</t>
        </is>
      </c>
    </row>
    <row r="32" ht="15.75" customHeight="1" s="32">
      <c r="A32" s="13" t="inlineStr">
        <is>
          <t>Случай m.10197G&gt;A [29] не включён в количественный анализ точных пар: два перенесённых эмбриона имели значения &lt;5%, точный уровень имплантировавшегося эмбриона неизвестен, а сигнал амниотической жидкости 0,17% был ниже контроля 0,28% и ограничений метода. Наблюдение сохранено ниже как качественное.</t>
        </is>
      </c>
    </row>
    <row r="33" ht="15.75" customHeight="1" s="32">
      <c r="A33" s="13" t="inlineStr">
        <is>
          <t>Агрегированные постнатальные данные Newcastle-программы [21] не включены: индивидуальные пары «эмбрион–ребёнок» для отдельных вариантов не опубликованы.</t>
        </is>
      </c>
    </row>
    <row r="34" ht="15.75" customHeight="1" s="32">
      <c r="A34" s="13" t="inlineStr">
        <is>
          <t>Строки C5a–C5h относятся к одному ребёнку и демонстрируют расхождение результатов между тканями, сроками наблюдения и лабораториями.</t>
        </is>
      </c>
    </row>
    <row r="35" ht="15.75" customHeight="1" s="32">
      <c r="A35" s="13" t="inlineStr">
        <is>
          <t>Итог количественного набора: 8 клинических случаев; 23 записи в сопроводительном наборе; 22 нанесённые точные числовые пары; 1 дополнительная цензурированная серия &lt;10%; C13 — отдельный исключённый качественный случай.</t>
        </is>
      </c>
    </row>
    <row r="36" ht="24" customHeight="1" s="32">
      <c r="A36" s="39" t="inlineStr">
        <is>
          <t>Исключённое качественное наблюдение — не входит в количественный набор и не показано на графике</t>
        </is>
      </c>
    </row>
    <row r="37" ht="30" customHeight="1" s="32">
      <c r="A37" s="14" t="inlineStr">
        <is>
          <t>Case ID</t>
        </is>
      </c>
      <c r="B37" s="14" t="inlineStr">
        <is>
          <t>Источник</t>
        </is>
      </c>
      <c r="C37" s="14" t="inlineStr">
        <is>
          <t>Вариант мтДНК</t>
        </is>
      </c>
      <c r="D37" s="14" t="inlineStr">
        <is>
          <t>Гетероплазмия эмбриона, %</t>
        </is>
      </c>
      <c r="E37" s="14" t="inlineStr">
        <is>
          <t>Этап наблюдения</t>
        </is>
      </c>
      <c r="F37" s="14" t="inlineStr">
        <is>
          <t>Материал плода/ребёнка</t>
        </is>
      </c>
      <c r="G37" s="14" t="inlineStr">
        <is>
          <t>Гетероплазмия плода/ребёнка, %</t>
        </is>
      </c>
      <c r="H37" s="14" t="inlineStr">
        <is>
          <t>Δ (ткань − эмбрион), п.п.</t>
        </is>
      </c>
      <c r="I37" s="9" t="inlineStr">
        <is>
          <t>Возраст на момент анализа</t>
        </is>
      </c>
      <c r="J37" s="9" t="inlineStr">
        <is>
          <t>Метод</t>
        </is>
      </c>
      <c r="K37" s="9" t="inlineStr">
        <is>
          <t>Клинический случай</t>
        </is>
      </c>
      <c r="L37" s="9" t="inlineStr">
        <is>
          <t>На графике</t>
        </is>
      </c>
    </row>
    <row r="38" ht="72" customHeight="1" s="32">
      <c r="A38" s="13" t="inlineStr">
        <is>
          <t>C13</t>
        </is>
      </c>
      <c r="B38" s="13" t="inlineStr">
        <is>
          <t>Mizuguchi et al., 2025</t>
        </is>
      </c>
      <c r="C38" s="13" t="inlineStr">
        <is>
          <t>m.10197G&gt;A</t>
        </is>
      </c>
      <c r="D38" s="13" t="inlineStr">
        <is>
          <t>&lt;5% у каждого из двух перенесённых эмбрионов; точное значение имплантировавшегося неизвестно</t>
        </is>
      </c>
      <c r="E38" s="13" t="inlineStr">
        <is>
          <t>пренатальный</t>
        </is>
      </c>
      <c r="F38" s="13" t="inlineStr">
        <is>
          <t>амниотическая жидкость, 15 нед</t>
        </is>
      </c>
      <c r="G38" s="13" t="inlineStr">
        <is>
          <t>вариант не выявлен; сигнал 0,17% ниже контрольного образца 0,28%</t>
        </is>
      </c>
      <c r="H38" s="13" t="inlineStr">
        <is>
          <t>не применимо — нет точной пары</t>
        </is>
      </c>
      <c r="I38" s="13" t="inlineStr">
        <is>
          <t>15 нед гестации</t>
        </is>
      </c>
      <c r="J38" s="13" t="inlineStr">
        <is>
          <t>пиросеквенирование; авторы оговорили ограничения при очень низкой нагрузке</t>
        </is>
      </c>
      <c r="K38" s="13" t="inlineStr">
        <is>
          <t>C13 (качественный случай)</t>
        </is>
      </c>
      <c r="L38" s="13" t="inlineStr">
        <is>
          <t>нет — исключено из exact-pair plot</t>
        </is>
      </c>
    </row>
    <row r="39" ht="15.75" customHeight="1" s="32"/>
    <row r="40" ht="15.75" customHeight="1" s="32">
      <c r="A40" t="inlineStr">
        <is>
          <t>Строки C14a–C14d (Hu et al., 2026, m.3250T&gt;C) относятся к одному ребёнку: перенесена эуплоидная бластоциста с 1,8%; 0 означает отсутствие детекции при пороге 1,0% (Supplementary Table S1 первоисточника).</t>
        </is>
      </c>
    </row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1:H1"/>
    <mergeCell ref="A2:H2"/>
    <mergeCell ref="A36:L36"/>
  </mergeCell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7F3F98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ColWidth="12.63" defaultRowHeight="15" customHeight="1"/>
  <cols>
    <col width="10" customWidth="1" style="32" min="1" max="1"/>
    <col width="16.63" customWidth="1" style="32" min="2" max="2"/>
    <col width="8.880000000000001" customWidth="1" style="32" min="3" max="4"/>
    <col width="13.38" customWidth="1" style="32" min="5" max="5"/>
    <col width="16.13" customWidth="1" style="32" min="6" max="6"/>
    <col width="48" customWidth="1" style="32" min="7" max="7"/>
    <col width="8.630000000000001" customWidth="1" style="32" min="8" max="26"/>
  </cols>
  <sheetData>
    <row r="1" ht="18" customHeight="1" s="32">
      <c r="A1" s="40" t="inlineStr">
        <is>
          <t>Рисунок 6 — Иллюстративный сценарный расчёт совместного учёта ПГТ-мт и ПГТ-А</t>
        </is>
      </c>
    </row>
    <row r="2" ht="61.5" customHeight="1" s="32">
      <c r="A2" s="38" t="inlineStr">
        <is>
          <t>Сценарный расчёт. p_гет — наблюдаемая доля эмбрионов с гетероплазмией не выше выбранной границы (18% или 30%) в объединённом опубликованном наборе (рис. 3), а не оценка индивидуальной вероятности для конкретной пациентки. p_эупл — ориентировочные возраст-зависимые значения доли эуплоидных бластоцист по обобщённым данным [41]. Расчёт условно предполагает независимость гетероплазмии и хромосомного статуса, а также независимость бластоцист как испытаний с одинаковой вероятностью; оба допущения не доказаны. p_обе = p_гет × p_эупл; P(≥1) = 1 − (1 − p_обе)^N.</t>
        </is>
      </c>
    </row>
    <row r="3" ht="25.5" customHeight="1" s="32">
      <c r="A3" s="17" t="inlineStr">
        <is>
          <t>Возраст</t>
        </is>
      </c>
      <c r="B3" s="17" t="inlineStr">
        <is>
          <t>Вариант мтДНК</t>
        </is>
      </c>
      <c r="C3" s="17" t="inlineStr">
        <is>
          <t>p_гет</t>
        </is>
      </c>
      <c r="D3" s="17" t="inlineStr">
        <is>
          <t>p_эупл</t>
        </is>
      </c>
      <c r="E3" s="17" t="inlineStr">
        <is>
          <t>p_обе</t>
        </is>
      </c>
      <c r="F3" s="17" t="inlineStr">
        <is>
          <t>Число бластоцист (N)</t>
        </is>
      </c>
      <c r="G3" s="17" t="inlineStr">
        <is>
          <t>Расчётная P(≥1 эуплоидный эмбрион с гетероплазмией ниже границы)</t>
        </is>
      </c>
    </row>
    <row r="4" ht="13.5" customHeight="1" s="32">
      <c r="A4" s="19" t="inlineStr">
        <is>
          <t>30 лет</t>
        </is>
      </c>
      <c r="B4" s="19" t="inlineStr">
        <is>
          <t>m.8993T&gt;G</t>
        </is>
      </c>
      <c r="C4" s="21" t="n">
        <v>0.92</v>
      </c>
      <c r="D4" s="21" t="n">
        <v>0.7</v>
      </c>
      <c r="E4" s="21">
        <f>C4*D4</f>
        <v/>
      </c>
      <c r="F4" s="22" t="n">
        <v>1</v>
      </c>
      <c r="G4" s="21">
        <f>1-(1-E4)^F4</f>
        <v/>
      </c>
    </row>
    <row r="5" ht="13.5" customHeight="1" s="32">
      <c r="A5" s="23" t="inlineStr">
        <is>
          <t>30 лет</t>
        </is>
      </c>
      <c r="B5" s="23" t="inlineStr">
        <is>
          <t>m.3243A&gt;G</t>
        </is>
      </c>
      <c r="C5" s="24" t="n">
        <v>0.47</v>
      </c>
      <c r="D5" s="24" t="n">
        <v>0.7</v>
      </c>
      <c r="E5" s="24">
        <f>C5*D5</f>
        <v/>
      </c>
      <c r="F5" s="25" t="n">
        <v>1</v>
      </c>
      <c r="G5" s="24">
        <f>1-(1-E5)^F5</f>
        <v/>
      </c>
    </row>
    <row r="6" ht="13.5" customHeight="1" s="32">
      <c r="A6" s="19" t="inlineStr">
        <is>
          <t>30 лет</t>
        </is>
      </c>
      <c r="B6" s="19" t="inlineStr">
        <is>
          <t>m.14487T&gt;C</t>
        </is>
      </c>
      <c r="C6" s="21" t="n">
        <v>0.21</v>
      </c>
      <c r="D6" s="21" t="n">
        <v>0.7</v>
      </c>
      <c r="E6" s="21">
        <f>C6*D6</f>
        <v/>
      </c>
      <c r="F6" s="22" t="n">
        <v>1</v>
      </c>
      <c r="G6" s="21">
        <f>1-(1-E6)^F6</f>
        <v/>
      </c>
    </row>
    <row r="7" ht="13.5" customHeight="1" s="32">
      <c r="A7" s="23" t="inlineStr">
        <is>
          <t>30 лет</t>
        </is>
      </c>
      <c r="B7" s="23" t="inlineStr">
        <is>
          <t>m.3697G&gt;A</t>
        </is>
      </c>
      <c r="C7" s="24" t="n">
        <v>0.05</v>
      </c>
      <c r="D7" s="24" t="n">
        <v>0.7</v>
      </c>
      <c r="E7" s="24">
        <f>C7*D7</f>
        <v/>
      </c>
      <c r="F7" s="25" t="n">
        <v>1</v>
      </c>
      <c r="G7" s="24">
        <f>1-(1-E7)^F7</f>
        <v/>
      </c>
    </row>
    <row r="8" ht="13.5" customHeight="1" s="32">
      <c r="A8" s="19" t="inlineStr">
        <is>
          <t>35 лет</t>
        </is>
      </c>
      <c r="B8" s="19" t="inlineStr">
        <is>
          <t>m.8993T&gt;G</t>
        </is>
      </c>
      <c r="C8" s="21" t="n">
        <v>0.92</v>
      </c>
      <c r="D8" s="21" t="n">
        <v>0.5</v>
      </c>
      <c r="E8" s="21">
        <f>C8*D8</f>
        <v/>
      </c>
      <c r="F8" s="22" t="n">
        <v>1</v>
      </c>
      <c r="G8" s="21">
        <f>1-(1-E8)^F8</f>
        <v/>
      </c>
    </row>
    <row r="9" ht="13.5" customHeight="1" s="32">
      <c r="A9" s="23" t="inlineStr">
        <is>
          <t>35 лет</t>
        </is>
      </c>
      <c r="B9" s="23" t="inlineStr">
        <is>
          <t>m.3243A&gt;G</t>
        </is>
      </c>
      <c r="C9" s="24" t="n">
        <v>0.47</v>
      </c>
      <c r="D9" s="24" t="n">
        <v>0.5</v>
      </c>
      <c r="E9" s="24">
        <f>C9*D9</f>
        <v/>
      </c>
      <c r="F9" s="25" t="n">
        <v>1</v>
      </c>
      <c r="G9" s="24">
        <f>1-(1-E9)^F9</f>
        <v/>
      </c>
    </row>
    <row r="10" ht="13.5" customHeight="1" s="32">
      <c r="A10" s="19" t="inlineStr">
        <is>
          <t>35 лет</t>
        </is>
      </c>
      <c r="B10" s="19" t="inlineStr">
        <is>
          <t>m.14487T&gt;C</t>
        </is>
      </c>
      <c r="C10" s="21" t="n">
        <v>0.21</v>
      </c>
      <c r="D10" s="21" t="n">
        <v>0.5</v>
      </c>
      <c r="E10" s="21">
        <f>C10*D10</f>
        <v/>
      </c>
      <c r="F10" s="22" t="n">
        <v>1</v>
      </c>
      <c r="G10" s="21">
        <f>1-(1-E10)^F10</f>
        <v/>
      </c>
    </row>
    <row r="11" ht="13.5" customHeight="1" s="32">
      <c r="A11" s="23" t="inlineStr">
        <is>
          <t>35 лет</t>
        </is>
      </c>
      <c r="B11" s="23" t="inlineStr">
        <is>
          <t>m.3697G&gt;A</t>
        </is>
      </c>
      <c r="C11" s="24" t="n">
        <v>0.05</v>
      </c>
      <c r="D11" s="24" t="n">
        <v>0.5</v>
      </c>
      <c r="E11" s="24">
        <f>C11*D11</f>
        <v/>
      </c>
      <c r="F11" s="25" t="n">
        <v>1</v>
      </c>
      <c r="G11" s="24">
        <f>1-(1-E11)^F11</f>
        <v/>
      </c>
    </row>
    <row r="12" ht="13.5" customHeight="1" s="32">
      <c r="A12" s="19" t="inlineStr">
        <is>
          <t>40 лет</t>
        </is>
      </c>
      <c r="B12" s="19" t="inlineStr">
        <is>
          <t>m.8993T&gt;G</t>
        </is>
      </c>
      <c r="C12" s="21" t="n">
        <v>0.92</v>
      </c>
      <c r="D12" s="21" t="n">
        <v>0.3</v>
      </c>
      <c r="E12" s="21">
        <f>C12*D12</f>
        <v/>
      </c>
      <c r="F12" s="22" t="n">
        <v>1</v>
      </c>
      <c r="G12" s="21">
        <f>1-(1-E12)^F12</f>
        <v/>
      </c>
    </row>
    <row r="13" ht="13.5" customHeight="1" s="32">
      <c r="A13" s="23" t="inlineStr">
        <is>
          <t>40 лет</t>
        </is>
      </c>
      <c r="B13" s="23" t="inlineStr">
        <is>
          <t>m.3243A&gt;G</t>
        </is>
      </c>
      <c r="C13" s="24" t="n">
        <v>0.47</v>
      </c>
      <c r="D13" s="24" t="n">
        <v>0.3</v>
      </c>
      <c r="E13" s="24">
        <f>C13*D13</f>
        <v/>
      </c>
      <c r="F13" s="25" t="n">
        <v>1</v>
      </c>
      <c r="G13" s="24">
        <f>1-(1-E13)^F13</f>
        <v/>
      </c>
    </row>
    <row r="14" ht="13.5" customHeight="1" s="32">
      <c r="A14" s="19" t="inlineStr">
        <is>
          <t>40 лет</t>
        </is>
      </c>
      <c r="B14" s="19" t="inlineStr">
        <is>
          <t>m.14487T&gt;C</t>
        </is>
      </c>
      <c r="C14" s="21" t="n">
        <v>0.21</v>
      </c>
      <c r="D14" s="21" t="n">
        <v>0.3</v>
      </c>
      <c r="E14" s="21">
        <f>C14*D14</f>
        <v/>
      </c>
      <c r="F14" s="22" t="n">
        <v>1</v>
      </c>
      <c r="G14" s="21">
        <f>1-(1-E14)^F14</f>
        <v/>
      </c>
    </row>
    <row r="15" ht="13.5" customHeight="1" s="32">
      <c r="A15" s="23" t="inlineStr">
        <is>
          <t>40 лет</t>
        </is>
      </c>
      <c r="B15" s="23" t="inlineStr">
        <is>
          <t>m.3697G&gt;A</t>
        </is>
      </c>
      <c r="C15" s="24" t="n">
        <v>0.05</v>
      </c>
      <c r="D15" s="24" t="n">
        <v>0.3</v>
      </c>
      <c r="E15" s="24">
        <f>C15*D15</f>
        <v/>
      </c>
      <c r="F15" s="25" t="n">
        <v>1</v>
      </c>
      <c r="G15" s="24">
        <f>1-(1-E15)^F15</f>
        <v/>
      </c>
    </row>
    <row r="16" ht="13.5" customHeight="1" s="32">
      <c r="A16" s="19" t="inlineStr">
        <is>
          <t>30 лет</t>
        </is>
      </c>
      <c r="B16" s="19" t="inlineStr">
        <is>
          <t>m.8993T&gt;G</t>
        </is>
      </c>
      <c r="C16" s="21" t="n">
        <v>0.92</v>
      </c>
      <c r="D16" s="21" t="n">
        <v>0.7</v>
      </c>
      <c r="E16" s="21">
        <f>C16*D16</f>
        <v/>
      </c>
      <c r="F16" s="22" t="n">
        <v>2</v>
      </c>
      <c r="G16" s="21">
        <f>1-(1-E16)^F16</f>
        <v/>
      </c>
    </row>
    <row r="17" ht="13.5" customHeight="1" s="32">
      <c r="A17" s="23" t="inlineStr">
        <is>
          <t>30 лет</t>
        </is>
      </c>
      <c r="B17" s="23" t="inlineStr">
        <is>
          <t>m.3243A&gt;G</t>
        </is>
      </c>
      <c r="C17" s="24" t="n">
        <v>0.47</v>
      </c>
      <c r="D17" s="24" t="n">
        <v>0.7</v>
      </c>
      <c r="E17" s="24">
        <f>C17*D17</f>
        <v/>
      </c>
      <c r="F17" s="25" t="n">
        <v>2</v>
      </c>
      <c r="G17" s="24">
        <f>1-(1-E17)^F17</f>
        <v/>
      </c>
    </row>
    <row r="18" ht="13.5" customHeight="1" s="32">
      <c r="A18" s="19" t="inlineStr">
        <is>
          <t>30 лет</t>
        </is>
      </c>
      <c r="B18" s="19" t="inlineStr">
        <is>
          <t>m.14487T&gt;C</t>
        </is>
      </c>
      <c r="C18" s="21" t="n">
        <v>0.21</v>
      </c>
      <c r="D18" s="21" t="n">
        <v>0.7</v>
      </c>
      <c r="E18" s="21">
        <f>C18*D18</f>
        <v/>
      </c>
      <c r="F18" s="22" t="n">
        <v>2</v>
      </c>
      <c r="G18" s="21">
        <f>1-(1-E18)^F18</f>
        <v/>
      </c>
    </row>
    <row r="19" ht="13.5" customHeight="1" s="32">
      <c r="A19" s="23" t="inlineStr">
        <is>
          <t>30 лет</t>
        </is>
      </c>
      <c r="B19" s="23" t="inlineStr">
        <is>
          <t>m.3697G&gt;A</t>
        </is>
      </c>
      <c r="C19" s="24" t="n">
        <v>0.05</v>
      </c>
      <c r="D19" s="24" t="n">
        <v>0.7</v>
      </c>
      <c r="E19" s="24">
        <f>C19*D19</f>
        <v/>
      </c>
      <c r="F19" s="25" t="n">
        <v>2</v>
      </c>
      <c r="G19" s="24">
        <f>1-(1-E19)^F19</f>
        <v/>
      </c>
    </row>
    <row r="20" ht="13.5" customHeight="1" s="32">
      <c r="A20" s="19" t="inlineStr">
        <is>
          <t>35 лет</t>
        </is>
      </c>
      <c r="B20" s="19" t="inlineStr">
        <is>
          <t>m.8993T&gt;G</t>
        </is>
      </c>
      <c r="C20" s="21" t="n">
        <v>0.92</v>
      </c>
      <c r="D20" s="21" t="n">
        <v>0.5</v>
      </c>
      <c r="E20" s="21">
        <f>C20*D20</f>
        <v/>
      </c>
      <c r="F20" s="22" t="n">
        <v>2</v>
      </c>
      <c r="G20" s="21">
        <f>1-(1-E20)^F20</f>
        <v/>
      </c>
    </row>
    <row r="21" ht="13.5" customHeight="1" s="32">
      <c r="A21" s="23" t="inlineStr">
        <is>
          <t>35 лет</t>
        </is>
      </c>
      <c r="B21" s="23" t="inlineStr">
        <is>
          <t>m.3243A&gt;G</t>
        </is>
      </c>
      <c r="C21" s="24" t="n">
        <v>0.47</v>
      </c>
      <c r="D21" s="24" t="n">
        <v>0.5</v>
      </c>
      <c r="E21" s="24">
        <f>C21*D21</f>
        <v/>
      </c>
      <c r="F21" s="25" t="n">
        <v>2</v>
      </c>
      <c r="G21" s="24">
        <f>1-(1-E21)^F21</f>
        <v/>
      </c>
    </row>
    <row r="22" ht="13.5" customHeight="1" s="32">
      <c r="A22" s="19" t="inlineStr">
        <is>
          <t>35 лет</t>
        </is>
      </c>
      <c r="B22" s="19" t="inlineStr">
        <is>
          <t>m.14487T&gt;C</t>
        </is>
      </c>
      <c r="C22" s="21" t="n">
        <v>0.21</v>
      </c>
      <c r="D22" s="21" t="n">
        <v>0.5</v>
      </c>
      <c r="E22" s="21">
        <f>C22*D22</f>
        <v/>
      </c>
      <c r="F22" s="22" t="n">
        <v>2</v>
      </c>
      <c r="G22" s="21">
        <f>1-(1-E22)^F22</f>
        <v/>
      </c>
    </row>
    <row r="23" ht="13.5" customHeight="1" s="32">
      <c r="A23" s="23" t="inlineStr">
        <is>
          <t>35 лет</t>
        </is>
      </c>
      <c r="B23" s="23" t="inlineStr">
        <is>
          <t>m.3697G&gt;A</t>
        </is>
      </c>
      <c r="C23" s="24" t="n">
        <v>0.05</v>
      </c>
      <c r="D23" s="24" t="n">
        <v>0.5</v>
      </c>
      <c r="E23" s="24">
        <f>C23*D23</f>
        <v/>
      </c>
      <c r="F23" s="25" t="n">
        <v>2</v>
      </c>
      <c r="G23" s="24">
        <f>1-(1-E23)^F23</f>
        <v/>
      </c>
    </row>
    <row r="24" ht="13.5" customHeight="1" s="32">
      <c r="A24" s="19" t="inlineStr">
        <is>
          <t>40 лет</t>
        </is>
      </c>
      <c r="B24" s="19" t="inlineStr">
        <is>
          <t>m.8993T&gt;G</t>
        </is>
      </c>
      <c r="C24" s="21" t="n">
        <v>0.92</v>
      </c>
      <c r="D24" s="21" t="n">
        <v>0.3</v>
      </c>
      <c r="E24" s="21">
        <f>C24*D24</f>
        <v/>
      </c>
      <c r="F24" s="22" t="n">
        <v>2</v>
      </c>
      <c r="G24" s="21">
        <f>1-(1-E24)^F24</f>
        <v/>
      </c>
    </row>
    <row r="25" ht="13.5" customHeight="1" s="32">
      <c r="A25" s="23" t="inlineStr">
        <is>
          <t>40 лет</t>
        </is>
      </c>
      <c r="B25" s="23" t="inlineStr">
        <is>
          <t>m.3243A&gt;G</t>
        </is>
      </c>
      <c r="C25" s="24" t="n">
        <v>0.47</v>
      </c>
      <c r="D25" s="24" t="n">
        <v>0.3</v>
      </c>
      <c r="E25" s="24">
        <f>C25*D25</f>
        <v/>
      </c>
      <c r="F25" s="25" t="n">
        <v>2</v>
      </c>
      <c r="G25" s="24">
        <f>1-(1-E25)^F25</f>
        <v/>
      </c>
    </row>
    <row r="26" ht="13.5" customHeight="1" s="32">
      <c r="A26" s="19" t="inlineStr">
        <is>
          <t>40 лет</t>
        </is>
      </c>
      <c r="B26" s="19" t="inlineStr">
        <is>
          <t>m.14487T&gt;C</t>
        </is>
      </c>
      <c r="C26" s="21" t="n">
        <v>0.21</v>
      </c>
      <c r="D26" s="21" t="n">
        <v>0.3</v>
      </c>
      <c r="E26" s="21">
        <f>C26*D26</f>
        <v/>
      </c>
      <c r="F26" s="22" t="n">
        <v>2</v>
      </c>
      <c r="G26" s="21">
        <f>1-(1-E26)^F26</f>
        <v/>
      </c>
    </row>
    <row r="27" ht="13.5" customHeight="1" s="32">
      <c r="A27" s="23" t="inlineStr">
        <is>
          <t>40 лет</t>
        </is>
      </c>
      <c r="B27" s="23" t="inlineStr">
        <is>
          <t>m.3697G&gt;A</t>
        </is>
      </c>
      <c r="C27" s="24" t="n">
        <v>0.05</v>
      </c>
      <c r="D27" s="24" t="n">
        <v>0.3</v>
      </c>
      <c r="E27" s="24">
        <f>C27*D27</f>
        <v/>
      </c>
      <c r="F27" s="25" t="n">
        <v>2</v>
      </c>
      <c r="G27" s="24">
        <f>1-(1-E27)^F27</f>
        <v/>
      </c>
    </row>
    <row r="28" ht="13.5" customHeight="1" s="32">
      <c r="A28" s="19" t="inlineStr">
        <is>
          <t>30 лет</t>
        </is>
      </c>
      <c r="B28" s="19" t="inlineStr">
        <is>
          <t>m.8993T&gt;G</t>
        </is>
      </c>
      <c r="C28" s="21" t="n">
        <v>0.92</v>
      </c>
      <c r="D28" s="21" t="n">
        <v>0.7</v>
      </c>
      <c r="E28" s="21">
        <f>C28*D28</f>
        <v/>
      </c>
      <c r="F28" s="22" t="n">
        <v>3</v>
      </c>
      <c r="G28" s="21">
        <f>1-(1-E28)^F28</f>
        <v/>
      </c>
    </row>
    <row r="29" ht="13.5" customHeight="1" s="32">
      <c r="A29" s="23" t="inlineStr">
        <is>
          <t>30 лет</t>
        </is>
      </c>
      <c r="B29" s="23" t="inlineStr">
        <is>
          <t>m.3243A&gt;G</t>
        </is>
      </c>
      <c r="C29" s="24" t="n">
        <v>0.47</v>
      </c>
      <c r="D29" s="24" t="n">
        <v>0.7</v>
      </c>
      <c r="E29" s="24">
        <f>C29*D29</f>
        <v/>
      </c>
      <c r="F29" s="25" t="n">
        <v>3</v>
      </c>
      <c r="G29" s="24">
        <f>1-(1-E29)^F29</f>
        <v/>
      </c>
    </row>
    <row r="30" ht="13.5" customHeight="1" s="32">
      <c r="A30" s="19" t="inlineStr">
        <is>
          <t>30 лет</t>
        </is>
      </c>
      <c r="B30" s="19" t="inlineStr">
        <is>
          <t>m.14487T&gt;C</t>
        </is>
      </c>
      <c r="C30" s="21" t="n">
        <v>0.21</v>
      </c>
      <c r="D30" s="21" t="n">
        <v>0.7</v>
      </c>
      <c r="E30" s="21">
        <f>C30*D30</f>
        <v/>
      </c>
      <c r="F30" s="22" t="n">
        <v>3</v>
      </c>
      <c r="G30" s="21">
        <f>1-(1-E30)^F30</f>
        <v/>
      </c>
    </row>
    <row r="31" ht="13.5" customHeight="1" s="32">
      <c r="A31" s="23" t="inlineStr">
        <is>
          <t>30 лет</t>
        </is>
      </c>
      <c r="B31" s="23" t="inlineStr">
        <is>
          <t>m.3697G&gt;A</t>
        </is>
      </c>
      <c r="C31" s="24" t="n">
        <v>0.05</v>
      </c>
      <c r="D31" s="24" t="n">
        <v>0.7</v>
      </c>
      <c r="E31" s="24">
        <f>C31*D31</f>
        <v/>
      </c>
      <c r="F31" s="25" t="n">
        <v>3</v>
      </c>
      <c r="G31" s="24">
        <f>1-(1-E31)^F31</f>
        <v/>
      </c>
    </row>
    <row r="32" ht="13.5" customHeight="1" s="32">
      <c r="A32" s="19" t="inlineStr">
        <is>
          <t>35 лет</t>
        </is>
      </c>
      <c r="B32" s="19" t="inlineStr">
        <is>
          <t>m.8993T&gt;G</t>
        </is>
      </c>
      <c r="C32" s="21" t="n">
        <v>0.92</v>
      </c>
      <c r="D32" s="21" t="n">
        <v>0.5</v>
      </c>
      <c r="E32" s="21">
        <f>C32*D32</f>
        <v/>
      </c>
      <c r="F32" s="22" t="n">
        <v>3</v>
      </c>
      <c r="G32" s="21">
        <f>1-(1-E32)^F32</f>
        <v/>
      </c>
    </row>
    <row r="33" ht="13.5" customHeight="1" s="32">
      <c r="A33" s="23" t="inlineStr">
        <is>
          <t>35 лет</t>
        </is>
      </c>
      <c r="B33" s="23" t="inlineStr">
        <is>
          <t>m.3243A&gt;G</t>
        </is>
      </c>
      <c r="C33" s="24" t="n">
        <v>0.47</v>
      </c>
      <c r="D33" s="24" t="n">
        <v>0.5</v>
      </c>
      <c r="E33" s="24">
        <f>C33*D33</f>
        <v/>
      </c>
      <c r="F33" s="25" t="n">
        <v>3</v>
      </c>
      <c r="G33" s="24">
        <f>1-(1-E33)^F33</f>
        <v/>
      </c>
    </row>
    <row r="34" ht="13.5" customHeight="1" s="32">
      <c r="A34" s="19" t="inlineStr">
        <is>
          <t>35 лет</t>
        </is>
      </c>
      <c r="B34" s="19" t="inlineStr">
        <is>
          <t>m.14487T&gt;C</t>
        </is>
      </c>
      <c r="C34" s="21" t="n">
        <v>0.21</v>
      </c>
      <c r="D34" s="21" t="n">
        <v>0.5</v>
      </c>
      <c r="E34" s="21">
        <f>C34*D34</f>
        <v/>
      </c>
      <c r="F34" s="22" t="n">
        <v>3</v>
      </c>
      <c r="G34" s="21">
        <f>1-(1-E34)^F34</f>
        <v/>
      </c>
    </row>
    <row r="35" ht="13.5" customHeight="1" s="32">
      <c r="A35" s="23" t="inlineStr">
        <is>
          <t>35 лет</t>
        </is>
      </c>
      <c r="B35" s="23" t="inlineStr">
        <is>
          <t>m.3697G&gt;A</t>
        </is>
      </c>
      <c r="C35" s="24" t="n">
        <v>0.05</v>
      </c>
      <c r="D35" s="24" t="n">
        <v>0.5</v>
      </c>
      <c r="E35" s="24">
        <f>C35*D35</f>
        <v/>
      </c>
      <c r="F35" s="25" t="n">
        <v>3</v>
      </c>
      <c r="G35" s="24">
        <f>1-(1-E35)^F35</f>
        <v/>
      </c>
    </row>
    <row r="36" ht="13.5" customHeight="1" s="32">
      <c r="A36" s="19" t="inlineStr">
        <is>
          <t>40 лет</t>
        </is>
      </c>
      <c r="B36" s="19" t="inlineStr">
        <is>
          <t>m.8993T&gt;G</t>
        </is>
      </c>
      <c r="C36" s="21" t="n">
        <v>0.92</v>
      </c>
      <c r="D36" s="21" t="n">
        <v>0.3</v>
      </c>
      <c r="E36" s="21">
        <f>C36*D36</f>
        <v/>
      </c>
      <c r="F36" s="22" t="n">
        <v>3</v>
      </c>
      <c r="G36" s="21">
        <f>1-(1-E36)^F36</f>
        <v/>
      </c>
    </row>
    <row r="37" ht="13.5" customHeight="1" s="32">
      <c r="A37" s="23" t="inlineStr">
        <is>
          <t>40 лет</t>
        </is>
      </c>
      <c r="B37" s="23" t="inlineStr">
        <is>
          <t>m.3243A&gt;G</t>
        </is>
      </c>
      <c r="C37" s="24" t="n">
        <v>0.47</v>
      </c>
      <c r="D37" s="24" t="n">
        <v>0.3</v>
      </c>
      <c r="E37" s="24">
        <f>C37*D37</f>
        <v/>
      </c>
      <c r="F37" s="25" t="n">
        <v>3</v>
      </c>
      <c r="G37" s="24">
        <f>1-(1-E37)^F37</f>
        <v/>
      </c>
    </row>
    <row r="38" ht="13.5" customHeight="1" s="32">
      <c r="A38" s="19" t="inlineStr">
        <is>
          <t>40 лет</t>
        </is>
      </c>
      <c r="B38" s="19" t="inlineStr">
        <is>
          <t>m.14487T&gt;C</t>
        </is>
      </c>
      <c r="C38" s="21" t="n">
        <v>0.21</v>
      </c>
      <c r="D38" s="21" t="n">
        <v>0.3</v>
      </c>
      <c r="E38" s="21">
        <f>C38*D38</f>
        <v/>
      </c>
      <c r="F38" s="22" t="n">
        <v>3</v>
      </c>
      <c r="G38" s="21">
        <f>1-(1-E38)^F38</f>
        <v/>
      </c>
    </row>
    <row r="39" ht="13.5" customHeight="1" s="32">
      <c r="A39" s="23" t="inlineStr">
        <is>
          <t>40 лет</t>
        </is>
      </c>
      <c r="B39" s="23" t="inlineStr">
        <is>
          <t>m.3697G&gt;A</t>
        </is>
      </c>
      <c r="C39" s="24" t="n">
        <v>0.05</v>
      </c>
      <c r="D39" s="24" t="n">
        <v>0.3</v>
      </c>
      <c r="E39" s="24">
        <f>C39*D39</f>
        <v/>
      </c>
      <c r="F39" s="25" t="n">
        <v>3</v>
      </c>
      <c r="G39" s="24">
        <f>1-(1-E39)^F39</f>
        <v/>
      </c>
    </row>
    <row r="40" ht="13.5" customHeight="1" s="32">
      <c r="A40" s="19" t="inlineStr">
        <is>
          <t>30 лет</t>
        </is>
      </c>
      <c r="B40" s="19" t="inlineStr">
        <is>
          <t>m.8993T&gt;G</t>
        </is>
      </c>
      <c r="C40" s="21" t="n">
        <v>0.92</v>
      </c>
      <c r="D40" s="21" t="n">
        <v>0.7</v>
      </c>
      <c r="E40" s="21">
        <f>C40*D40</f>
        <v/>
      </c>
      <c r="F40" s="22" t="n">
        <v>4</v>
      </c>
      <c r="G40" s="21">
        <f>1-(1-E40)^F40</f>
        <v/>
      </c>
    </row>
    <row r="41" ht="13.5" customHeight="1" s="32">
      <c r="A41" s="23" t="inlineStr">
        <is>
          <t>30 лет</t>
        </is>
      </c>
      <c r="B41" s="23" t="inlineStr">
        <is>
          <t>m.3243A&gt;G</t>
        </is>
      </c>
      <c r="C41" s="24" t="n">
        <v>0.47</v>
      </c>
      <c r="D41" s="24" t="n">
        <v>0.7</v>
      </c>
      <c r="E41" s="24">
        <f>C41*D41</f>
        <v/>
      </c>
      <c r="F41" s="25" t="n">
        <v>4</v>
      </c>
      <c r="G41" s="24">
        <f>1-(1-E41)^F41</f>
        <v/>
      </c>
    </row>
    <row r="42" ht="13.5" customHeight="1" s="32">
      <c r="A42" s="19" t="inlineStr">
        <is>
          <t>30 лет</t>
        </is>
      </c>
      <c r="B42" s="19" t="inlineStr">
        <is>
          <t>m.14487T&gt;C</t>
        </is>
      </c>
      <c r="C42" s="21" t="n">
        <v>0.21</v>
      </c>
      <c r="D42" s="21" t="n">
        <v>0.7</v>
      </c>
      <c r="E42" s="21">
        <f>C42*D42</f>
        <v/>
      </c>
      <c r="F42" s="22" t="n">
        <v>4</v>
      </c>
      <c r="G42" s="21">
        <f>1-(1-E42)^F42</f>
        <v/>
      </c>
    </row>
    <row r="43" ht="13.5" customHeight="1" s="32">
      <c r="A43" s="23" t="inlineStr">
        <is>
          <t>30 лет</t>
        </is>
      </c>
      <c r="B43" s="23" t="inlineStr">
        <is>
          <t>m.3697G&gt;A</t>
        </is>
      </c>
      <c r="C43" s="24" t="n">
        <v>0.05</v>
      </c>
      <c r="D43" s="24" t="n">
        <v>0.7</v>
      </c>
      <c r="E43" s="24">
        <f>C43*D43</f>
        <v/>
      </c>
      <c r="F43" s="25" t="n">
        <v>4</v>
      </c>
      <c r="G43" s="24">
        <f>1-(1-E43)^F43</f>
        <v/>
      </c>
    </row>
    <row r="44" ht="13.5" customHeight="1" s="32">
      <c r="A44" s="19" t="inlineStr">
        <is>
          <t>35 лет</t>
        </is>
      </c>
      <c r="B44" s="19" t="inlineStr">
        <is>
          <t>m.8993T&gt;G</t>
        </is>
      </c>
      <c r="C44" s="21" t="n">
        <v>0.92</v>
      </c>
      <c r="D44" s="21" t="n">
        <v>0.5</v>
      </c>
      <c r="E44" s="21">
        <f>C44*D44</f>
        <v/>
      </c>
      <c r="F44" s="22" t="n">
        <v>4</v>
      </c>
      <c r="G44" s="21">
        <f>1-(1-E44)^F44</f>
        <v/>
      </c>
    </row>
    <row r="45" ht="13.5" customHeight="1" s="32">
      <c r="A45" s="23" t="inlineStr">
        <is>
          <t>35 лет</t>
        </is>
      </c>
      <c r="B45" s="23" t="inlineStr">
        <is>
          <t>m.3243A&gt;G</t>
        </is>
      </c>
      <c r="C45" s="24" t="n">
        <v>0.47</v>
      </c>
      <c r="D45" s="24" t="n">
        <v>0.5</v>
      </c>
      <c r="E45" s="24">
        <f>C45*D45</f>
        <v/>
      </c>
      <c r="F45" s="25" t="n">
        <v>4</v>
      </c>
      <c r="G45" s="24">
        <f>1-(1-E45)^F45</f>
        <v/>
      </c>
    </row>
    <row r="46" ht="13.5" customHeight="1" s="32">
      <c r="A46" s="19" t="inlineStr">
        <is>
          <t>35 лет</t>
        </is>
      </c>
      <c r="B46" s="19" t="inlineStr">
        <is>
          <t>m.14487T&gt;C</t>
        </is>
      </c>
      <c r="C46" s="21" t="n">
        <v>0.21</v>
      </c>
      <c r="D46" s="21" t="n">
        <v>0.5</v>
      </c>
      <c r="E46" s="21">
        <f>C46*D46</f>
        <v/>
      </c>
      <c r="F46" s="22" t="n">
        <v>4</v>
      </c>
      <c r="G46" s="21">
        <f>1-(1-E46)^F46</f>
        <v/>
      </c>
    </row>
    <row r="47" ht="13.5" customHeight="1" s="32">
      <c r="A47" s="23" t="inlineStr">
        <is>
          <t>35 лет</t>
        </is>
      </c>
      <c r="B47" s="23" t="inlineStr">
        <is>
          <t>m.3697G&gt;A</t>
        </is>
      </c>
      <c r="C47" s="24" t="n">
        <v>0.05</v>
      </c>
      <c r="D47" s="24" t="n">
        <v>0.5</v>
      </c>
      <c r="E47" s="24">
        <f>C47*D47</f>
        <v/>
      </c>
      <c r="F47" s="25" t="n">
        <v>4</v>
      </c>
      <c r="G47" s="24">
        <f>1-(1-E47)^F47</f>
        <v/>
      </c>
    </row>
    <row r="48" ht="13.5" customHeight="1" s="32">
      <c r="A48" s="19" t="inlineStr">
        <is>
          <t>40 лет</t>
        </is>
      </c>
      <c r="B48" s="19" t="inlineStr">
        <is>
          <t>m.8993T&gt;G</t>
        </is>
      </c>
      <c r="C48" s="21" t="n">
        <v>0.92</v>
      </c>
      <c r="D48" s="21" t="n">
        <v>0.3</v>
      </c>
      <c r="E48" s="21">
        <f>C48*D48</f>
        <v/>
      </c>
      <c r="F48" s="22" t="n">
        <v>4</v>
      </c>
      <c r="G48" s="21">
        <f>1-(1-E48)^F48</f>
        <v/>
      </c>
    </row>
    <row r="49" ht="13.5" customHeight="1" s="32">
      <c r="A49" s="23" t="inlineStr">
        <is>
          <t>40 лет</t>
        </is>
      </c>
      <c r="B49" s="23" t="inlineStr">
        <is>
          <t>m.3243A&gt;G</t>
        </is>
      </c>
      <c r="C49" s="24" t="n">
        <v>0.47</v>
      </c>
      <c r="D49" s="24" t="n">
        <v>0.3</v>
      </c>
      <c r="E49" s="24">
        <f>C49*D49</f>
        <v/>
      </c>
      <c r="F49" s="25" t="n">
        <v>4</v>
      </c>
      <c r="G49" s="24">
        <f>1-(1-E49)^F49</f>
        <v/>
      </c>
    </row>
    <row r="50" ht="13.5" customHeight="1" s="32">
      <c r="A50" s="19" t="inlineStr">
        <is>
          <t>40 лет</t>
        </is>
      </c>
      <c r="B50" s="19" t="inlineStr">
        <is>
          <t>m.14487T&gt;C</t>
        </is>
      </c>
      <c r="C50" s="21" t="n">
        <v>0.21</v>
      </c>
      <c r="D50" s="21" t="n">
        <v>0.3</v>
      </c>
      <c r="E50" s="21">
        <f>C50*D50</f>
        <v/>
      </c>
      <c r="F50" s="22" t="n">
        <v>4</v>
      </c>
      <c r="G50" s="21">
        <f>1-(1-E50)^F50</f>
        <v/>
      </c>
    </row>
    <row r="51" ht="13.5" customHeight="1" s="32">
      <c r="A51" s="23" t="inlineStr">
        <is>
          <t>40 лет</t>
        </is>
      </c>
      <c r="B51" s="23" t="inlineStr">
        <is>
          <t>m.3697G&gt;A</t>
        </is>
      </c>
      <c r="C51" s="24" t="n">
        <v>0.05</v>
      </c>
      <c r="D51" s="24" t="n">
        <v>0.3</v>
      </c>
      <c r="E51" s="24">
        <f>C51*D51</f>
        <v/>
      </c>
      <c r="F51" s="25" t="n">
        <v>4</v>
      </c>
      <c r="G51" s="24">
        <f>1-(1-E51)^F51</f>
        <v/>
      </c>
    </row>
    <row r="52" ht="13.5" customHeight="1" s="32">
      <c r="A52" s="19" t="inlineStr">
        <is>
          <t>30 лет</t>
        </is>
      </c>
      <c r="B52" s="19" t="inlineStr">
        <is>
          <t>m.8993T&gt;G</t>
        </is>
      </c>
      <c r="C52" s="21" t="n">
        <v>0.92</v>
      </c>
      <c r="D52" s="21" t="n">
        <v>0.7</v>
      </c>
      <c r="E52" s="21">
        <f>C52*D52</f>
        <v/>
      </c>
      <c r="F52" s="22" t="n">
        <v>5</v>
      </c>
      <c r="G52" s="21">
        <f>1-(1-E52)^F52</f>
        <v/>
      </c>
    </row>
    <row r="53" ht="13.5" customHeight="1" s="32">
      <c r="A53" s="23" t="inlineStr">
        <is>
          <t>30 лет</t>
        </is>
      </c>
      <c r="B53" s="23" t="inlineStr">
        <is>
          <t>m.3243A&gt;G</t>
        </is>
      </c>
      <c r="C53" s="24" t="n">
        <v>0.47</v>
      </c>
      <c r="D53" s="24" t="n">
        <v>0.7</v>
      </c>
      <c r="E53" s="24">
        <f>C53*D53</f>
        <v/>
      </c>
      <c r="F53" s="25" t="n">
        <v>5</v>
      </c>
      <c r="G53" s="24">
        <f>1-(1-E53)^F53</f>
        <v/>
      </c>
    </row>
    <row r="54" ht="13.5" customHeight="1" s="32">
      <c r="A54" s="19" t="inlineStr">
        <is>
          <t>30 лет</t>
        </is>
      </c>
      <c r="B54" s="19" t="inlineStr">
        <is>
          <t>m.14487T&gt;C</t>
        </is>
      </c>
      <c r="C54" s="21" t="n">
        <v>0.21</v>
      </c>
      <c r="D54" s="21" t="n">
        <v>0.7</v>
      </c>
      <c r="E54" s="21">
        <f>C54*D54</f>
        <v/>
      </c>
      <c r="F54" s="22" t="n">
        <v>5</v>
      </c>
      <c r="G54" s="21">
        <f>1-(1-E54)^F54</f>
        <v/>
      </c>
    </row>
    <row r="55" ht="13.5" customHeight="1" s="32">
      <c r="A55" s="23" t="inlineStr">
        <is>
          <t>30 лет</t>
        </is>
      </c>
      <c r="B55" s="23" t="inlineStr">
        <is>
          <t>m.3697G&gt;A</t>
        </is>
      </c>
      <c r="C55" s="24" t="n">
        <v>0.05</v>
      </c>
      <c r="D55" s="24" t="n">
        <v>0.7</v>
      </c>
      <c r="E55" s="24">
        <f>C55*D55</f>
        <v/>
      </c>
      <c r="F55" s="25" t="n">
        <v>5</v>
      </c>
      <c r="G55" s="24">
        <f>1-(1-E55)^F55</f>
        <v/>
      </c>
    </row>
    <row r="56" ht="13.5" customHeight="1" s="32">
      <c r="A56" s="19" t="inlineStr">
        <is>
          <t>35 лет</t>
        </is>
      </c>
      <c r="B56" s="19" t="inlineStr">
        <is>
          <t>m.8993T&gt;G</t>
        </is>
      </c>
      <c r="C56" s="21" t="n">
        <v>0.92</v>
      </c>
      <c r="D56" s="21" t="n">
        <v>0.5</v>
      </c>
      <c r="E56" s="21">
        <f>C56*D56</f>
        <v/>
      </c>
      <c r="F56" s="22" t="n">
        <v>5</v>
      </c>
      <c r="G56" s="21">
        <f>1-(1-E56)^F56</f>
        <v/>
      </c>
    </row>
    <row r="57" ht="13.5" customHeight="1" s="32">
      <c r="A57" s="23" t="inlineStr">
        <is>
          <t>35 лет</t>
        </is>
      </c>
      <c r="B57" s="23" t="inlineStr">
        <is>
          <t>m.3243A&gt;G</t>
        </is>
      </c>
      <c r="C57" s="24" t="n">
        <v>0.47</v>
      </c>
      <c r="D57" s="24" t="n">
        <v>0.5</v>
      </c>
      <c r="E57" s="24">
        <f>C57*D57</f>
        <v/>
      </c>
      <c r="F57" s="25" t="n">
        <v>5</v>
      </c>
      <c r="G57" s="24">
        <f>1-(1-E57)^F57</f>
        <v/>
      </c>
    </row>
    <row r="58" ht="13.5" customHeight="1" s="32">
      <c r="A58" s="19" t="inlineStr">
        <is>
          <t>35 лет</t>
        </is>
      </c>
      <c r="B58" s="19" t="inlineStr">
        <is>
          <t>m.14487T&gt;C</t>
        </is>
      </c>
      <c r="C58" s="21" t="n">
        <v>0.21</v>
      </c>
      <c r="D58" s="21" t="n">
        <v>0.5</v>
      </c>
      <c r="E58" s="21">
        <f>C58*D58</f>
        <v/>
      </c>
      <c r="F58" s="22" t="n">
        <v>5</v>
      </c>
      <c r="G58" s="21">
        <f>1-(1-E58)^F58</f>
        <v/>
      </c>
    </row>
    <row r="59" ht="13.5" customHeight="1" s="32">
      <c r="A59" s="23" t="inlineStr">
        <is>
          <t>35 лет</t>
        </is>
      </c>
      <c r="B59" s="23" t="inlineStr">
        <is>
          <t>m.3697G&gt;A</t>
        </is>
      </c>
      <c r="C59" s="24" t="n">
        <v>0.05</v>
      </c>
      <c r="D59" s="24" t="n">
        <v>0.5</v>
      </c>
      <c r="E59" s="24">
        <f>C59*D59</f>
        <v/>
      </c>
      <c r="F59" s="25" t="n">
        <v>5</v>
      </c>
      <c r="G59" s="24">
        <f>1-(1-E59)^F59</f>
        <v/>
      </c>
    </row>
    <row r="60" ht="13.5" customHeight="1" s="32">
      <c r="A60" s="19" t="inlineStr">
        <is>
          <t>40 лет</t>
        </is>
      </c>
      <c r="B60" s="19" t="inlineStr">
        <is>
          <t>m.8993T&gt;G</t>
        </is>
      </c>
      <c r="C60" s="21" t="n">
        <v>0.92</v>
      </c>
      <c r="D60" s="21" t="n">
        <v>0.3</v>
      </c>
      <c r="E60" s="21">
        <f>C60*D60</f>
        <v/>
      </c>
      <c r="F60" s="22" t="n">
        <v>5</v>
      </c>
      <c r="G60" s="21">
        <f>1-(1-E60)^F60</f>
        <v/>
      </c>
    </row>
    <row r="61" ht="13.5" customHeight="1" s="32">
      <c r="A61" s="23" t="inlineStr">
        <is>
          <t>40 лет</t>
        </is>
      </c>
      <c r="B61" s="23" t="inlineStr">
        <is>
          <t>m.3243A&gt;G</t>
        </is>
      </c>
      <c r="C61" s="24" t="n">
        <v>0.47</v>
      </c>
      <c r="D61" s="24" t="n">
        <v>0.3</v>
      </c>
      <c r="E61" s="24">
        <f>C61*D61</f>
        <v/>
      </c>
      <c r="F61" s="25" t="n">
        <v>5</v>
      </c>
      <c r="G61" s="24">
        <f>1-(1-E61)^F61</f>
        <v/>
      </c>
    </row>
    <row r="62" ht="13.5" customHeight="1" s="32">
      <c r="A62" s="19" t="inlineStr">
        <is>
          <t>40 лет</t>
        </is>
      </c>
      <c r="B62" s="19" t="inlineStr">
        <is>
          <t>m.14487T&gt;C</t>
        </is>
      </c>
      <c r="C62" s="21" t="n">
        <v>0.21</v>
      </c>
      <c r="D62" s="21" t="n">
        <v>0.3</v>
      </c>
      <c r="E62" s="21">
        <f>C62*D62</f>
        <v/>
      </c>
      <c r="F62" s="22" t="n">
        <v>5</v>
      </c>
      <c r="G62" s="21">
        <f>1-(1-E62)^F62</f>
        <v/>
      </c>
    </row>
    <row r="63" ht="13.5" customHeight="1" s="32">
      <c r="A63" s="23" t="inlineStr">
        <is>
          <t>40 лет</t>
        </is>
      </c>
      <c r="B63" s="23" t="inlineStr">
        <is>
          <t>m.3697G&gt;A</t>
        </is>
      </c>
      <c r="C63" s="24" t="n">
        <v>0.05</v>
      </c>
      <c r="D63" s="24" t="n">
        <v>0.3</v>
      </c>
      <c r="E63" s="24">
        <f>C63*D63</f>
        <v/>
      </c>
      <c r="F63" s="25" t="n">
        <v>5</v>
      </c>
      <c r="G63" s="24">
        <f>1-(1-E63)^F63</f>
        <v/>
      </c>
    </row>
    <row r="64" ht="13.5" customHeight="1" s="32">
      <c r="A64" s="19" t="inlineStr">
        <is>
          <t>30 лет</t>
        </is>
      </c>
      <c r="B64" s="19" t="inlineStr">
        <is>
          <t>m.8993T&gt;G</t>
        </is>
      </c>
      <c r="C64" s="21" t="n">
        <v>0.92</v>
      </c>
      <c r="D64" s="21" t="n">
        <v>0.7</v>
      </c>
      <c r="E64" s="21">
        <f>C64*D64</f>
        <v/>
      </c>
      <c r="F64" s="22" t="n">
        <v>6</v>
      </c>
      <c r="G64" s="21">
        <f>1-(1-E64)^F64</f>
        <v/>
      </c>
    </row>
    <row r="65" ht="13.5" customHeight="1" s="32">
      <c r="A65" s="23" t="inlineStr">
        <is>
          <t>30 лет</t>
        </is>
      </c>
      <c r="B65" s="23" t="inlineStr">
        <is>
          <t>m.3243A&gt;G</t>
        </is>
      </c>
      <c r="C65" s="24" t="n">
        <v>0.47</v>
      </c>
      <c r="D65" s="24" t="n">
        <v>0.7</v>
      </c>
      <c r="E65" s="24">
        <f>C65*D65</f>
        <v/>
      </c>
      <c r="F65" s="25" t="n">
        <v>6</v>
      </c>
      <c r="G65" s="24">
        <f>1-(1-E65)^F65</f>
        <v/>
      </c>
    </row>
    <row r="66" ht="13.5" customHeight="1" s="32">
      <c r="A66" s="19" t="inlineStr">
        <is>
          <t>30 лет</t>
        </is>
      </c>
      <c r="B66" s="19" t="inlineStr">
        <is>
          <t>m.14487T&gt;C</t>
        </is>
      </c>
      <c r="C66" s="21" t="n">
        <v>0.21</v>
      </c>
      <c r="D66" s="21" t="n">
        <v>0.7</v>
      </c>
      <c r="E66" s="21">
        <f>C66*D66</f>
        <v/>
      </c>
      <c r="F66" s="22" t="n">
        <v>6</v>
      </c>
      <c r="G66" s="21">
        <f>1-(1-E66)^F66</f>
        <v/>
      </c>
    </row>
    <row r="67" ht="13.5" customHeight="1" s="32">
      <c r="A67" s="23" t="inlineStr">
        <is>
          <t>30 лет</t>
        </is>
      </c>
      <c r="B67" s="23" t="inlineStr">
        <is>
          <t>m.3697G&gt;A</t>
        </is>
      </c>
      <c r="C67" s="24" t="n">
        <v>0.05</v>
      </c>
      <c r="D67" s="24" t="n">
        <v>0.7</v>
      </c>
      <c r="E67" s="24">
        <f>C67*D67</f>
        <v/>
      </c>
      <c r="F67" s="25" t="n">
        <v>6</v>
      </c>
      <c r="G67" s="24">
        <f>1-(1-E67)^F67</f>
        <v/>
      </c>
    </row>
    <row r="68" ht="13.5" customHeight="1" s="32">
      <c r="A68" s="19" t="inlineStr">
        <is>
          <t>35 лет</t>
        </is>
      </c>
      <c r="B68" s="19" t="inlineStr">
        <is>
          <t>m.8993T&gt;G</t>
        </is>
      </c>
      <c r="C68" s="21" t="n">
        <v>0.92</v>
      </c>
      <c r="D68" s="21" t="n">
        <v>0.5</v>
      </c>
      <c r="E68" s="21">
        <f>C68*D68</f>
        <v/>
      </c>
      <c r="F68" s="22" t="n">
        <v>6</v>
      </c>
      <c r="G68" s="21">
        <f>1-(1-E68)^F68</f>
        <v/>
      </c>
    </row>
    <row r="69" ht="13.5" customHeight="1" s="32">
      <c r="A69" s="23" t="inlineStr">
        <is>
          <t>35 лет</t>
        </is>
      </c>
      <c r="B69" s="23" t="inlineStr">
        <is>
          <t>m.3243A&gt;G</t>
        </is>
      </c>
      <c r="C69" s="24" t="n">
        <v>0.47</v>
      </c>
      <c r="D69" s="24" t="n">
        <v>0.5</v>
      </c>
      <c r="E69" s="24">
        <f>C69*D69</f>
        <v/>
      </c>
      <c r="F69" s="25" t="n">
        <v>6</v>
      </c>
      <c r="G69" s="24">
        <f>1-(1-E69)^F69</f>
        <v/>
      </c>
    </row>
    <row r="70" ht="13.5" customHeight="1" s="32">
      <c r="A70" s="19" t="inlineStr">
        <is>
          <t>35 лет</t>
        </is>
      </c>
      <c r="B70" s="19" t="inlineStr">
        <is>
          <t>m.14487T&gt;C</t>
        </is>
      </c>
      <c r="C70" s="21" t="n">
        <v>0.21</v>
      </c>
      <c r="D70" s="21" t="n">
        <v>0.5</v>
      </c>
      <c r="E70" s="21">
        <f>C70*D70</f>
        <v/>
      </c>
      <c r="F70" s="22" t="n">
        <v>6</v>
      </c>
      <c r="G70" s="21">
        <f>1-(1-E70)^F70</f>
        <v/>
      </c>
    </row>
    <row r="71" ht="13.5" customHeight="1" s="32">
      <c r="A71" s="23" t="inlineStr">
        <is>
          <t>35 лет</t>
        </is>
      </c>
      <c r="B71" s="23" t="inlineStr">
        <is>
          <t>m.3697G&gt;A</t>
        </is>
      </c>
      <c r="C71" s="24" t="n">
        <v>0.05</v>
      </c>
      <c r="D71" s="24" t="n">
        <v>0.5</v>
      </c>
      <c r="E71" s="24">
        <f>C71*D71</f>
        <v/>
      </c>
      <c r="F71" s="25" t="n">
        <v>6</v>
      </c>
      <c r="G71" s="24">
        <f>1-(1-E71)^F71</f>
        <v/>
      </c>
    </row>
    <row r="72" ht="13.5" customHeight="1" s="32">
      <c r="A72" s="19" t="inlineStr">
        <is>
          <t>40 лет</t>
        </is>
      </c>
      <c r="B72" s="19" t="inlineStr">
        <is>
          <t>m.8993T&gt;G</t>
        </is>
      </c>
      <c r="C72" s="21" t="n">
        <v>0.92</v>
      </c>
      <c r="D72" s="21" t="n">
        <v>0.3</v>
      </c>
      <c r="E72" s="21">
        <f>C72*D72</f>
        <v/>
      </c>
      <c r="F72" s="22" t="n">
        <v>6</v>
      </c>
      <c r="G72" s="21">
        <f>1-(1-E72)^F72</f>
        <v/>
      </c>
    </row>
    <row r="73" ht="13.5" customHeight="1" s="32">
      <c r="A73" s="23" t="inlineStr">
        <is>
          <t>40 лет</t>
        </is>
      </c>
      <c r="B73" s="23" t="inlineStr">
        <is>
          <t>m.3243A&gt;G</t>
        </is>
      </c>
      <c r="C73" s="24" t="n">
        <v>0.47</v>
      </c>
      <c r="D73" s="24" t="n">
        <v>0.3</v>
      </c>
      <c r="E73" s="24">
        <f>C73*D73</f>
        <v/>
      </c>
      <c r="F73" s="25" t="n">
        <v>6</v>
      </c>
      <c r="G73" s="24">
        <f>1-(1-E73)^F73</f>
        <v/>
      </c>
    </row>
    <row r="74" ht="13.5" customHeight="1" s="32">
      <c r="A74" s="19" t="inlineStr">
        <is>
          <t>40 лет</t>
        </is>
      </c>
      <c r="B74" s="19" t="inlineStr">
        <is>
          <t>m.14487T&gt;C</t>
        </is>
      </c>
      <c r="C74" s="21" t="n">
        <v>0.21</v>
      </c>
      <c r="D74" s="21" t="n">
        <v>0.3</v>
      </c>
      <c r="E74" s="21">
        <f>C74*D74</f>
        <v/>
      </c>
      <c r="F74" s="22" t="n">
        <v>6</v>
      </c>
      <c r="G74" s="21">
        <f>1-(1-E74)^F74</f>
        <v/>
      </c>
    </row>
    <row r="75" ht="13.5" customHeight="1" s="32">
      <c r="A75" s="23" t="inlineStr">
        <is>
          <t>40 лет</t>
        </is>
      </c>
      <c r="B75" s="23" t="inlineStr">
        <is>
          <t>m.3697G&gt;A</t>
        </is>
      </c>
      <c r="C75" s="24" t="n">
        <v>0.05</v>
      </c>
      <c r="D75" s="24" t="n">
        <v>0.3</v>
      </c>
      <c r="E75" s="24">
        <f>C75*D75</f>
        <v/>
      </c>
      <c r="F75" s="25" t="n">
        <v>6</v>
      </c>
      <c r="G75" s="24">
        <f>1-(1-E75)^F75</f>
        <v/>
      </c>
    </row>
    <row r="76" ht="13.5" customHeight="1" s="32">
      <c r="A76" s="26" t="inlineStr">
        <is>
          <t>30 лет</t>
        </is>
      </c>
      <c r="B76" s="26" t="inlineStr">
        <is>
          <t>m.8993T&gt;G</t>
        </is>
      </c>
      <c r="C76" s="27" t="n">
        <v>0.92</v>
      </c>
      <c r="D76" s="27" t="n">
        <v>0.7</v>
      </c>
      <c r="E76" s="27">
        <f>C76*D76</f>
        <v/>
      </c>
      <c r="F76" s="28" t="n">
        <v>7</v>
      </c>
      <c r="G76" s="27">
        <f>1-(1-E76)^F76</f>
        <v/>
      </c>
    </row>
    <row r="77" ht="13.5" customHeight="1" s="32">
      <c r="A77" s="29" t="inlineStr">
        <is>
          <t>30 лет</t>
        </is>
      </c>
      <c r="B77" s="29" t="inlineStr">
        <is>
          <t>m.3243A&gt;G</t>
        </is>
      </c>
      <c r="C77" s="30" t="n">
        <v>0.47</v>
      </c>
      <c r="D77" s="30" t="n">
        <v>0.7</v>
      </c>
      <c r="E77" s="30">
        <f>C77*D77</f>
        <v/>
      </c>
      <c r="F77" s="31" t="n">
        <v>7</v>
      </c>
      <c r="G77" s="30">
        <f>1-(1-E77)^F77</f>
        <v/>
      </c>
    </row>
    <row r="78" ht="13.5" customHeight="1" s="32">
      <c r="A78" s="26" t="inlineStr">
        <is>
          <t>30 лет</t>
        </is>
      </c>
      <c r="B78" s="26" t="inlineStr">
        <is>
          <t>m.14487T&gt;C</t>
        </is>
      </c>
      <c r="C78" s="27" t="n">
        <v>0.21</v>
      </c>
      <c r="D78" s="27" t="n">
        <v>0.7</v>
      </c>
      <c r="E78" s="27">
        <f>C78*D78</f>
        <v/>
      </c>
      <c r="F78" s="28" t="n">
        <v>7</v>
      </c>
      <c r="G78" s="27">
        <f>1-(1-E78)^F78</f>
        <v/>
      </c>
    </row>
    <row r="79" ht="13.5" customHeight="1" s="32">
      <c r="A79" s="29" t="inlineStr">
        <is>
          <t>30 лет</t>
        </is>
      </c>
      <c r="B79" s="29" t="inlineStr">
        <is>
          <t>m.3697G&gt;A</t>
        </is>
      </c>
      <c r="C79" s="30" t="n">
        <v>0.05</v>
      </c>
      <c r="D79" s="30" t="n">
        <v>0.7</v>
      </c>
      <c r="E79" s="30">
        <f>C79*D79</f>
        <v/>
      </c>
      <c r="F79" s="31" t="n">
        <v>7</v>
      </c>
      <c r="G79" s="30">
        <f>1-(1-E79)^F79</f>
        <v/>
      </c>
    </row>
    <row r="80" ht="13.5" customHeight="1" s="32">
      <c r="A80" s="26" t="inlineStr">
        <is>
          <t>35 лет</t>
        </is>
      </c>
      <c r="B80" s="26" t="inlineStr">
        <is>
          <t>m.8993T&gt;G</t>
        </is>
      </c>
      <c r="C80" s="27" t="n">
        <v>0.92</v>
      </c>
      <c r="D80" s="27" t="n">
        <v>0.5</v>
      </c>
      <c r="E80" s="27">
        <f>C80*D80</f>
        <v/>
      </c>
      <c r="F80" s="28" t="n">
        <v>7</v>
      </c>
      <c r="G80" s="27">
        <f>1-(1-E80)^F80</f>
        <v/>
      </c>
    </row>
    <row r="81" ht="13.5" customHeight="1" s="32">
      <c r="A81" s="29" t="inlineStr">
        <is>
          <t>35 лет</t>
        </is>
      </c>
      <c r="B81" s="29" t="inlineStr">
        <is>
          <t>m.3243A&gt;G</t>
        </is>
      </c>
      <c r="C81" s="30" t="n">
        <v>0.47</v>
      </c>
      <c r="D81" s="30" t="n">
        <v>0.5</v>
      </c>
      <c r="E81" s="30">
        <f>C81*D81</f>
        <v/>
      </c>
      <c r="F81" s="31" t="n">
        <v>7</v>
      </c>
      <c r="G81" s="30">
        <f>1-(1-E81)^F81</f>
        <v/>
      </c>
    </row>
    <row r="82" ht="13.5" customHeight="1" s="32">
      <c r="A82" s="26" t="inlineStr">
        <is>
          <t>35 лет</t>
        </is>
      </c>
      <c r="B82" s="26" t="inlineStr">
        <is>
          <t>m.14487T&gt;C</t>
        </is>
      </c>
      <c r="C82" s="27" t="n">
        <v>0.21</v>
      </c>
      <c r="D82" s="27" t="n">
        <v>0.5</v>
      </c>
      <c r="E82" s="27">
        <f>C82*D82</f>
        <v/>
      </c>
      <c r="F82" s="28" t="n">
        <v>7</v>
      </c>
      <c r="G82" s="27">
        <f>1-(1-E82)^F82</f>
        <v/>
      </c>
    </row>
    <row r="83" ht="13.5" customHeight="1" s="32">
      <c r="A83" s="29" t="inlineStr">
        <is>
          <t>35 лет</t>
        </is>
      </c>
      <c r="B83" s="29" t="inlineStr">
        <is>
          <t>m.3697G&gt;A</t>
        </is>
      </c>
      <c r="C83" s="30" t="n">
        <v>0.05</v>
      </c>
      <c r="D83" s="30" t="n">
        <v>0.5</v>
      </c>
      <c r="E83" s="30">
        <f>C83*D83</f>
        <v/>
      </c>
      <c r="F83" s="31" t="n">
        <v>7</v>
      </c>
      <c r="G83" s="30">
        <f>1-(1-E83)^F83</f>
        <v/>
      </c>
    </row>
    <row r="84" ht="13.5" customHeight="1" s="32">
      <c r="A84" s="26" t="inlineStr">
        <is>
          <t>40 лет</t>
        </is>
      </c>
      <c r="B84" s="26" t="inlineStr">
        <is>
          <t>m.8993T&gt;G</t>
        </is>
      </c>
      <c r="C84" s="27" t="n">
        <v>0.92</v>
      </c>
      <c r="D84" s="27" t="n">
        <v>0.3</v>
      </c>
      <c r="E84" s="27">
        <f>C84*D84</f>
        <v/>
      </c>
      <c r="F84" s="28" t="n">
        <v>7</v>
      </c>
      <c r="G84" s="27">
        <f>1-(1-E84)^F84</f>
        <v/>
      </c>
    </row>
    <row r="85" ht="13.5" customHeight="1" s="32">
      <c r="A85" s="29" t="inlineStr">
        <is>
          <t>40 лет</t>
        </is>
      </c>
      <c r="B85" s="29" t="inlineStr">
        <is>
          <t>m.3243A&gt;G</t>
        </is>
      </c>
      <c r="C85" s="30" t="n">
        <v>0.47</v>
      </c>
      <c r="D85" s="30" t="n">
        <v>0.3</v>
      </c>
      <c r="E85" s="30">
        <f>C85*D85</f>
        <v/>
      </c>
      <c r="F85" s="31" t="n">
        <v>7</v>
      </c>
      <c r="G85" s="30">
        <f>1-(1-E85)^F85</f>
        <v/>
      </c>
    </row>
    <row r="86" ht="13.5" customHeight="1" s="32">
      <c r="A86" s="26" t="inlineStr">
        <is>
          <t>40 лет</t>
        </is>
      </c>
      <c r="B86" s="26" t="inlineStr">
        <is>
          <t>m.14487T&gt;C</t>
        </is>
      </c>
      <c r="C86" s="27" t="n">
        <v>0.21</v>
      </c>
      <c r="D86" s="27" t="n">
        <v>0.3</v>
      </c>
      <c r="E86" s="27">
        <f>C86*D86</f>
        <v/>
      </c>
      <c r="F86" s="28" t="n">
        <v>7</v>
      </c>
      <c r="G86" s="27">
        <f>1-(1-E86)^F86</f>
        <v/>
      </c>
    </row>
    <row r="87" ht="13.5" customHeight="1" s="32">
      <c r="A87" s="29" t="inlineStr">
        <is>
          <t>40 лет</t>
        </is>
      </c>
      <c r="B87" s="29" t="inlineStr">
        <is>
          <t>m.3697G&gt;A</t>
        </is>
      </c>
      <c r="C87" s="30" t="n">
        <v>0.05</v>
      </c>
      <c r="D87" s="30" t="n">
        <v>0.3</v>
      </c>
      <c r="E87" s="30">
        <f>C87*D87</f>
        <v/>
      </c>
      <c r="F87" s="31" t="n">
        <v>7</v>
      </c>
      <c r="G87" s="30">
        <f>1-(1-E87)^F87</f>
        <v/>
      </c>
    </row>
    <row r="88" ht="13.5" customHeight="1" s="32">
      <c r="A88" s="26" t="inlineStr">
        <is>
          <t>30 лет</t>
        </is>
      </c>
      <c r="B88" s="26" t="inlineStr">
        <is>
          <t>m.8993T&gt;G</t>
        </is>
      </c>
      <c r="C88" s="27" t="n">
        <v>0.92</v>
      </c>
      <c r="D88" s="27" t="n">
        <v>0.7</v>
      </c>
      <c r="E88" s="27">
        <f>C88*D88</f>
        <v/>
      </c>
      <c r="F88" s="28" t="n">
        <v>8</v>
      </c>
      <c r="G88" s="27">
        <f>1-(1-E88)^F88</f>
        <v/>
      </c>
    </row>
    <row r="89" ht="13.5" customHeight="1" s="32">
      <c r="A89" s="29" t="inlineStr">
        <is>
          <t>30 лет</t>
        </is>
      </c>
      <c r="B89" s="29" t="inlineStr">
        <is>
          <t>m.3243A&gt;G</t>
        </is>
      </c>
      <c r="C89" s="30" t="n">
        <v>0.47</v>
      </c>
      <c r="D89" s="30" t="n">
        <v>0.7</v>
      </c>
      <c r="E89" s="30">
        <f>C89*D89</f>
        <v/>
      </c>
      <c r="F89" s="31" t="n">
        <v>8</v>
      </c>
      <c r="G89" s="30">
        <f>1-(1-E89)^F89</f>
        <v/>
      </c>
    </row>
    <row r="90" ht="13.5" customHeight="1" s="32">
      <c r="A90" s="26" t="inlineStr">
        <is>
          <t>30 лет</t>
        </is>
      </c>
      <c r="B90" s="26" t="inlineStr">
        <is>
          <t>m.14487T&gt;C</t>
        </is>
      </c>
      <c r="C90" s="27" t="n">
        <v>0.21</v>
      </c>
      <c r="D90" s="27" t="n">
        <v>0.7</v>
      </c>
      <c r="E90" s="27">
        <f>C90*D90</f>
        <v/>
      </c>
      <c r="F90" s="28" t="n">
        <v>8</v>
      </c>
      <c r="G90" s="27">
        <f>1-(1-E90)^F90</f>
        <v/>
      </c>
    </row>
    <row r="91" ht="13.5" customHeight="1" s="32">
      <c r="A91" s="29" t="inlineStr">
        <is>
          <t>30 лет</t>
        </is>
      </c>
      <c r="B91" s="29" t="inlineStr">
        <is>
          <t>m.3697G&gt;A</t>
        </is>
      </c>
      <c r="C91" s="30" t="n">
        <v>0.05</v>
      </c>
      <c r="D91" s="30" t="n">
        <v>0.7</v>
      </c>
      <c r="E91" s="30">
        <f>C91*D91</f>
        <v/>
      </c>
      <c r="F91" s="31" t="n">
        <v>8</v>
      </c>
      <c r="G91" s="30">
        <f>1-(1-E91)^F91</f>
        <v/>
      </c>
    </row>
    <row r="92" ht="13.5" customHeight="1" s="32">
      <c r="A92" s="26" t="inlineStr">
        <is>
          <t>35 лет</t>
        </is>
      </c>
      <c r="B92" s="26" t="inlineStr">
        <is>
          <t>m.8993T&gt;G</t>
        </is>
      </c>
      <c r="C92" s="27" t="n">
        <v>0.92</v>
      </c>
      <c r="D92" s="27" t="n">
        <v>0.5</v>
      </c>
      <c r="E92" s="27">
        <f>C92*D92</f>
        <v/>
      </c>
      <c r="F92" s="28" t="n">
        <v>8</v>
      </c>
      <c r="G92" s="27">
        <f>1-(1-E92)^F92</f>
        <v/>
      </c>
    </row>
    <row r="93" ht="13.5" customHeight="1" s="32">
      <c r="A93" s="29" t="inlineStr">
        <is>
          <t>35 лет</t>
        </is>
      </c>
      <c r="B93" s="29" t="inlineStr">
        <is>
          <t>m.3243A&gt;G</t>
        </is>
      </c>
      <c r="C93" s="30" t="n">
        <v>0.47</v>
      </c>
      <c r="D93" s="30" t="n">
        <v>0.5</v>
      </c>
      <c r="E93" s="30">
        <f>C93*D93</f>
        <v/>
      </c>
      <c r="F93" s="31" t="n">
        <v>8</v>
      </c>
      <c r="G93" s="30">
        <f>1-(1-E93)^F93</f>
        <v/>
      </c>
    </row>
    <row r="94" ht="13.5" customHeight="1" s="32">
      <c r="A94" s="26" t="inlineStr">
        <is>
          <t>35 лет</t>
        </is>
      </c>
      <c r="B94" s="26" t="inlineStr">
        <is>
          <t>m.14487T&gt;C</t>
        </is>
      </c>
      <c r="C94" s="27" t="n">
        <v>0.21</v>
      </c>
      <c r="D94" s="27" t="n">
        <v>0.5</v>
      </c>
      <c r="E94" s="27">
        <f>C94*D94</f>
        <v/>
      </c>
      <c r="F94" s="28" t="n">
        <v>8</v>
      </c>
      <c r="G94" s="27">
        <f>1-(1-E94)^F94</f>
        <v/>
      </c>
    </row>
    <row r="95" ht="13.5" customHeight="1" s="32">
      <c r="A95" s="29" t="inlineStr">
        <is>
          <t>35 лет</t>
        </is>
      </c>
      <c r="B95" s="29" t="inlineStr">
        <is>
          <t>m.3697G&gt;A</t>
        </is>
      </c>
      <c r="C95" s="30" t="n">
        <v>0.05</v>
      </c>
      <c r="D95" s="30" t="n">
        <v>0.5</v>
      </c>
      <c r="E95" s="30">
        <f>C95*D95</f>
        <v/>
      </c>
      <c r="F95" s="31" t="n">
        <v>8</v>
      </c>
      <c r="G95" s="30">
        <f>1-(1-E95)^F95</f>
        <v/>
      </c>
    </row>
    <row r="96" ht="13.5" customHeight="1" s="32">
      <c r="A96" s="26" t="inlineStr">
        <is>
          <t>40 лет</t>
        </is>
      </c>
      <c r="B96" s="26" t="inlineStr">
        <is>
          <t>m.8993T&gt;G</t>
        </is>
      </c>
      <c r="C96" s="27" t="n">
        <v>0.92</v>
      </c>
      <c r="D96" s="27" t="n">
        <v>0.3</v>
      </c>
      <c r="E96" s="27">
        <f>C96*D96</f>
        <v/>
      </c>
      <c r="F96" s="28" t="n">
        <v>8</v>
      </c>
      <c r="G96" s="27">
        <f>1-(1-E96)^F96</f>
        <v/>
      </c>
    </row>
    <row r="97" ht="13.5" customHeight="1" s="32">
      <c r="A97" s="29" t="inlineStr">
        <is>
          <t>40 лет</t>
        </is>
      </c>
      <c r="B97" s="29" t="inlineStr">
        <is>
          <t>m.3243A&gt;G</t>
        </is>
      </c>
      <c r="C97" s="30" t="n">
        <v>0.47</v>
      </c>
      <c r="D97" s="30" t="n">
        <v>0.3</v>
      </c>
      <c r="E97" s="30">
        <f>C97*D97</f>
        <v/>
      </c>
      <c r="F97" s="31" t="n">
        <v>8</v>
      </c>
      <c r="G97" s="30">
        <f>1-(1-E97)^F97</f>
        <v/>
      </c>
    </row>
    <row r="98" ht="13.5" customHeight="1" s="32">
      <c r="A98" s="26" t="inlineStr">
        <is>
          <t>40 лет</t>
        </is>
      </c>
      <c r="B98" s="26" t="inlineStr">
        <is>
          <t>m.14487T&gt;C</t>
        </is>
      </c>
      <c r="C98" s="27" t="n">
        <v>0.21</v>
      </c>
      <c r="D98" s="27" t="n">
        <v>0.3</v>
      </c>
      <c r="E98" s="27">
        <f>C98*D98</f>
        <v/>
      </c>
      <c r="F98" s="28" t="n">
        <v>8</v>
      </c>
      <c r="G98" s="27">
        <f>1-(1-E98)^F98</f>
        <v/>
      </c>
    </row>
    <row r="99" ht="13.5" customHeight="1" s="32">
      <c r="A99" s="29" t="inlineStr">
        <is>
          <t>40 лет</t>
        </is>
      </c>
      <c r="B99" s="29" t="inlineStr">
        <is>
          <t>m.3697G&gt;A</t>
        </is>
      </c>
      <c r="C99" s="30" t="n">
        <v>0.05</v>
      </c>
      <c r="D99" s="30" t="n">
        <v>0.3</v>
      </c>
      <c r="E99" s="30">
        <f>C99*D99</f>
        <v/>
      </c>
      <c r="F99" s="31" t="n">
        <v>8</v>
      </c>
      <c r="G99" s="30">
        <f>1-(1-E99)^F99</f>
        <v/>
      </c>
    </row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2">
    <mergeCell ref="A2:G2"/>
    <mergeCell ref="A1:G1"/>
  </mergeCells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Данные по парным бластомерам на стадии дробления — Monnot et al., 2011 (Hum Mutat 32:116–125), Table 3, пациентка 2, m.3243A&gt;G</t>
        </is>
      </c>
    </row>
    <row r="2">
      <c r="A2" s="0" t="inlineStr">
        <is>
          <t>Эмбрионы носительницы m.3243A&gt;G (день 3), для которых в Table 3 первоисточника опубликованы значения обоих бластомеров (n = 22). Размах = |бластомер 1 − бластомер 2|. Используются на панели В рисунка 4 (группа «Дробление, 2 бластомера»). Порог детекции метода в первоисточнике — 2%; пары 0/0 — вариант не выявлен в обоих бластомерах. Эмбрионы пациентки 1 (3–6 бластомеров, опубликованы только среднее ± SD) и эмбрионы, исследованные целиком, не включены.</t>
        </is>
      </c>
    </row>
    <row r="3">
      <c r="A3" s="0" t="inlineStr">
        <is>
          <t>Эмбрион (номер по Table 3)</t>
        </is>
      </c>
      <c r="B3" s="0" t="inlineStr">
        <is>
          <t>Вариант мтДНК</t>
        </is>
      </c>
      <c r="C3" s="0" t="inlineStr">
        <is>
          <t>Стадия</t>
        </is>
      </c>
      <c r="D3" s="0" t="inlineStr">
        <is>
          <t>Бластомер 1, %</t>
        </is>
      </c>
      <c r="E3" s="0" t="inlineStr">
        <is>
          <t>Бластомер 2, %</t>
        </is>
      </c>
      <c r="F3" s="0" t="inlineStr">
        <is>
          <t>Размах, п.п.</t>
        </is>
      </c>
      <c r="G3" s="0" t="inlineStr">
        <is>
          <t>Источник</t>
        </is>
      </c>
      <c r="H3" s="0" t="inlineStr">
        <is>
          <t>DOI</t>
        </is>
      </c>
    </row>
    <row r="4">
      <c r="A4" s="0" t="inlineStr">
        <is>
          <t>Monnot2011_P2_emb1</t>
        </is>
      </c>
      <c r="B4" s="0" t="inlineStr">
        <is>
          <t>m.3243A&gt;G</t>
        </is>
      </c>
      <c r="C4" s="0" t="inlineStr">
        <is>
          <t>дробление (день 3)</t>
        </is>
      </c>
      <c r="D4" s="0" t="n">
        <v>0</v>
      </c>
      <c r="E4" s="0" t="n">
        <v>0</v>
      </c>
      <c r="F4" s="0" t="n">
        <v>0</v>
      </c>
      <c r="G4" s="0" t="inlineStr">
        <is>
          <t>Monnot et al., 2011</t>
        </is>
      </c>
      <c r="H4" s="0" t="inlineStr">
        <is>
          <t>10.1002/humu.21417</t>
        </is>
      </c>
    </row>
    <row r="5">
      <c r="A5" s="0" t="inlineStr">
        <is>
          <t>Monnot2011_P2_emb2</t>
        </is>
      </c>
      <c r="B5" s="0" t="inlineStr">
        <is>
          <t>m.3243A&gt;G</t>
        </is>
      </c>
      <c r="C5" s="0" t="inlineStr">
        <is>
          <t>дробление (день 3)</t>
        </is>
      </c>
      <c r="D5" s="0" t="n">
        <v>0</v>
      </c>
      <c r="E5" s="0" t="n">
        <v>0</v>
      </c>
      <c r="F5" s="0" t="n">
        <v>0</v>
      </c>
      <c r="G5" s="0" t="inlineStr">
        <is>
          <t>Monnot et al., 2011</t>
        </is>
      </c>
      <c r="H5" s="0" t="inlineStr">
        <is>
          <t>10.1002/humu.21417</t>
        </is>
      </c>
    </row>
    <row r="6">
      <c r="A6" s="0" t="inlineStr">
        <is>
          <t>Monnot2011_P2_emb3</t>
        </is>
      </c>
      <c r="B6" s="0" t="inlineStr">
        <is>
          <t>m.3243A&gt;G</t>
        </is>
      </c>
      <c r="C6" s="0" t="inlineStr">
        <is>
          <t>дробление (день 3)</t>
        </is>
      </c>
      <c r="D6" s="0" t="n">
        <v>0</v>
      </c>
      <c r="E6" s="0" t="n">
        <v>0</v>
      </c>
      <c r="F6" s="0" t="n">
        <v>0</v>
      </c>
      <c r="G6" s="0" t="inlineStr">
        <is>
          <t>Monnot et al., 2011</t>
        </is>
      </c>
      <c r="H6" s="0" t="inlineStr">
        <is>
          <t>10.1002/humu.21417</t>
        </is>
      </c>
    </row>
    <row r="7">
      <c r="A7" s="0" t="inlineStr">
        <is>
          <t>Monnot2011_P2_emb7</t>
        </is>
      </c>
      <c r="B7" s="0" t="inlineStr">
        <is>
          <t>m.3243A&gt;G</t>
        </is>
      </c>
      <c r="C7" s="0" t="inlineStr">
        <is>
          <t>дробление (день 3)</t>
        </is>
      </c>
      <c r="D7" s="0" t="n">
        <v>5</v>
      </c>
      <c r="E7" s="0" t="n">
        <v>5</v>
      </c>
      <c r="F7" s="0" t="n">
        <v>0</v>
      </c>
      <c r="G7" s="0" t="inlineStr">
        <is>
          <t>Monnot et al., 2011</t>
        </is>
      </c>
      <c r="H7" s="0" t="inlineStr">
        <is>
          <t>10.1002/humu.21417</t>
        </is>
      </c>
    </row>
    <row r="8">
      <c r="A8" s="0" t="inlineStr">
        <is>
          <t>Monnot2011_P2_emb8</t>
        </is>
      </c>
      <c r="B8" s="0" t="inlineStr">
        <is>
          <t>m.3243A&gt;G</t>
        </is>
      </c>
      <c r="C8" s="0" t="inlineStr">
        <is>
          <t>дробление (день 3)</t>
        </is>
      </c>
      <c r="D8" s="0" t="n">
        <v>7</v>
      </c>
      <c r="E8" s="0" t="n">
        <v>8</v>
      </c>
      <c r="F8" s="0" t="n">
        <v>1</v>
      </c>
      <c r="G8" s="0" t="inlineStr">
        <is>
          <t>Monnot et al., 2011</t>
        </is>
      </c>
      <c r="H8" s="0" t="inlineStr">
        <is>
          <t>10.1002/humu.21417</t>
        </is>
      </c>
    </row>
    <row r="9">
      <c r="A9" s="0" t="inlineStr">
        <is>
          <t>Monnot2011_P2_emb9</t>
        </is>
      </c>
      <c r="B9" s="0" t="inlineStr">
        <is>
          <t>m.3243A&gt;G</t>
        </is>
      </c>
      <c r="C9" s="0" t="inlineStr">
        <is>
          <t>дробление (день 3)</t>
        </is>
      </c>
      <c r="D9" s="0" t="n">
        <v>12</v>
      </c>
      <c r="E9" s="0" t="n">
        <v>14</v>
      </c>
      <c r="F9" s="0" t="n">
        <v>2</v>
      </c>
      <c r="G9" s="0" t="inlineStr">
        <is>
          <t>Monnot et al., 2011</t>
        </is>
      </c>
      <c r="H9" s="0" t="inlineStr">
        <is>
          <t>10.1002/humu.21417</t>
        </is>
      </c>
    </row>
    <row r="10">
      <c r="A10" s="0" t="inlineStr">
        <is>
          <t>Monnot2011_P2_emb10</t>
        </is>
      </c>
      <c r="B10" s="0" t="inlineStr">
        <is>
          <t>m.3243A&gt;G</t>
        </is>
      </c>
      <c r="C10" s="0" t="inlineStr">
        <is>
          <t>дробление (день 3)</t>
        </is>
      </c>
      <c r="D10" s="0" t="n">
        <v>13</v>
      </c>
      <c r="E10" s="0" t="n">
        <v>13</v>
      </c>
      <c r="F10" s="0" t="n">
        <v>0</v>
      </c>
      <c r="G10" s="0" t="inlineStr">
        <is>
          <t>Monnot et al., 2011</t>
        </is>
      </c>
      <c r="H10" s="0" t="inlineStr">
        <is>
          <t>10.1002/humu.21417</t>
        </is>
      </c>
    </row>
    <row r="11">
      <c r="A11" s="0" t="inlineStr">
        <is>
          <t>Monnot2011_P2_emb11</t>
        </is>
      </c>
      <c r="B11" s="0" t="inlineStr">
        <is>
          <t>m.3243A&gt;G</t>
        </is>
      </c>
      <c r="C11" s="0" t="inlineStr">
        <is>
          <t>дробление (день 3)</t>
        </is>
      </c>
      <c r="D11" s="0" t="n">
        <v>13</v>
      </c>
      <c r="E11" s="0" t="n">
        <v>16</v>
      </c>
      <c r="F11" s="0" t="n">
        <v>3</v>
      </c>
      <c r="G11" s="0" t="inlineStr">
        <is>
          <t>Monnot et al., 2011</t>
        </is>
      </c>
      <c r="H11" s="0" t="inlineStr">
        <is>
          <t>10.1002/humu.21417</t>
        </is>
      </c>
    </row>
    <row r="12">
      <c r="A12" s="0" t="inlineStr">
        <is>
          <t>Monnot2011_P2_emb12</t>
        </is>
      </c>
      <c r="B12" s="0" t="inlineStr">
        <is>
          <t>m.3243A&gt;G</t>
        </is>
      </c>
      <c r="C12" s="0" t="inlineStr">
        <is>
          <t>дробление (день 3)</t>
        </is>
      </c>
      <c r="D12" s="0" t="n">
        <v>17</v>
      </c>
      <c r="E12" s="0" t="n">
        <v>22</v>
      </c>
      <c r="F12" s="0" t="n">
        <v>5</v>
      </c>
      <c r="G12" s="0" t="inlineStr">
        <is>
          <t>Monnot et al., 2011</t>
        </is>
      </c>
      <c r="H12" s="0" t="inlineStr">
        <is>
          <t>10.1002/humu.21417</t>
        </is>
      </c>
    </row>
    <row r="13">
      <c r="A13" s="0" t="inlineStr">
        <is>
          <t>Monnot2011_P2_emb13</t>
        </is>
      </c>
      <c r="B13" s="0" t="inlineStr">
        <is>
          <t>m.3243A&gt;G</t>
        </is>
      </c>
      <c r="C13" s="0" t="inlineStr">
        <is>
          <t>дробление (день 3)</t>
        </is>
      </c>
      <c r="D13" s="0" t="n">
        <v>14</v>
      </c>
      <c r="E13" s="0" t="n">
        <v>15</v>
      </c>
      <c r="F13" s="0" t="n">
        <v>1</v>
      </c>
      <c r="G13" s="0" t="inlineStr">
        <is>
          <t>Monnot et al., 2011</t>
        </is>
      </c>
      <c r="H13" s="0" t="inlineStr">
        <is>
          <t>10.1002/humu.21417</t>
        </is>
      </c>
    </row>
    <row r="14">
      <c r="A14" s="0" t="inlineStr">
        <is>
          <t>Monnot2011_P2_emb15</t>
        </is>
      </c>
      <c r="B14" s="0" t="inlineStr">
        <is>
          <t>m.3243A&gt;G</t>
        </is>
      </c>
      <c r="C14" s="0" t="inlineStr">
        <is>
          <t>дробление (день 3)</t>
        </is>
      </c>
      <c r="D14" s="0" t="n">
        <v>27</v>
      </c>
      <c r="E14" s="0" t="n">
        <v>27</v>
      </c>
      <c r="F14" s="0" t="n">
        <v>0</v>
      </c>
      <c r="G14" s="0" t="inlineStr">
        <is>
          <t>Monnot et al., 2011</t>
        </is>
      </c>
      <c r="H14" s="0" t="inlineStr">
        <is>
          <t>10.1002/humu.21417</t>
        </is>
      </c>
    </row>
    <row r="15">
      <c r="A15" s="0" t="inlineStr">
        <is>
          <t>Monnot2011_P2_emb17</t>
        </is>
      </c>
      <c r="B15" s="0" t="inlineStr">
        <is>
          <t>m.3243A&gt;G</t>
        </is>
      </c>
      <c r="C15" s="0" t="inlineStr">
        <is>
          <t>дробление (день 3)</t>
        </is>
      </c>
      <c r="D15" s="0" t="n">
        <v>15</v>
      </c>
      <c r="E15" s="0" t="n">
        <v>21</v>
      </c>
      <c r="F15" s="0" t="n">
        <v>6</v>
      </c>
      <c r="G15" s="0" t="inlineStr">
        <is>
          <t>Monnot et al., 2011</t>
        </is>
      </c>
      <c r="H15" s="0" t="inlineStr">
        <is>
          <t>10.1002/humu.21417</t>
        </is>
      </c>
    </row>
    <row r="16">
      <c r="A16" s="0" t="inlineStr">
        <is>
          <t>Monnot2011_P2_emb18</t>
        </is>
      </c>
      <c r="B16" s="0" t="inlineStr">
        <is>
          <t>m.3243A&gt;G</t>
        </is>
      </c>
      <c r="C16" s="0" t="inlineStr">
        <is>
          <t>дробление (день 3)</t>
        </is>
      </c>
      <c r="D16" s="0" t="n">
        <v>40</v>
      </c>
      <c r="E16" s="0" t="n">
        <v>41</v>
      </c>
      <c r="F16" s="0" t="n">
        <v>1</v>
      </c>
      <c r="G16" s="0" t="inlineStr">
        <is>
          <t>Monnot et al., 2011</t>
        </is>
      </c>
      <c r="H16" s="0" t="inlineStr">
        <is>
          <t>10.1002/humu.21417</t>
        </is>
      </c>
    </row>
    <row r="17">
      <c r="A17" s="0" t="inlineStr">
        <is>
          <t>Monnot2011_P2_emb23</t>
        </is>
      </c>
      <c r="B17" s="0" t="inlineStr">
        <is>
          <t>m.3243A&gt;G</t>
        </is>
      </c>
      <c r="C17" s="0" t="inlineStr">
        <is>
          <t>дробление (день 3)</t>
        </is>
      </c>
      <c r="D17" s="0" t="n">
        <v>51</v>
      </c>
      <c r="E17" s="0" t="n">
        <v>55</v>
      </c>
      <c r="F17" s="0" t="n">
        <v>4</v>
      </c>
      <c r="G17" s="0" t="inlineStr">
        <is>
          <t>Monnot et al., 2011</t>
        </is>
      </c>
      <c r="H17" s="0" t="inlineStr">
        <is>
          <t>10.1002/humu.21417</t>
        </is>
      </c>
    </row>
    <row r="18">
      <c r="A18" s="0" t="inlineStr">
        <is>
          <t>Monnot2011_P2_emb26</t>
        </is>
      </c>
      <c r="B18" s="0" t="inlineStr">
        <is>
          <t>m.3243A&gt;G</t>
        </is>
      </c>
      <c r="C18" s="0" t="inlineStr">
        <is>
          <t>дробление (день 3)</t>
        </is>
      </c>
      <c r="D18" s="0" t="n">
        <v>39</v>
      </c>
      <c r="E18" s="0" t="n">
        <v>40</v>
      </c>
      <c r="F18" s="0" t="n">
        <v>1</v>
      </c>
      <c r="G18" s="0" t="inlineStr">
        <is>
          <t>Monnot et al., 2011</t>
        </is>
      </c>
      <c r="H18" s="0" t="inlineStr">
        <is>
          <t>10.1002/humu.21417</t>
        </is>
      </c>
    </row>
    <row r="19">
      <c r="A19" s="0" t="inlineStr">
        <is>
          <t>Monnot2011_P2_emb27</t>
        </is>
      </c>
      <c r="B19" s="0" t="inlineStr">
        <is>
          <t>m.3243A&gt;G</t>
        </is>
      </c>
      <c r="C19" s="0" t="inlineStr">
        <is>
          <t>дробление (день 3)</t>
        </is>
      </c>
      <c r="D19" s="0" t="n">
        <v>54</v>
      </c>
      <c r="E19" s="0" t="n">
        <v>55</v>
      </c>
      <c r="F19" s="0" t="n">
        <v>1</v>
      </c>
      <c r="G19" s="0" t="inlineStr">
        <is>
          <t>Monnot et al., 2011</t>
        </is>
      </c>
      <c r="H19" s="0" t="inlineStr">
        <is>
          <t>10.1002/humu.21417</t>
        </is>
      </c>
    </row>
    <row r="20">
      <c r="A20" s="0" t="inlineStr">
        <is>
          <t>Monnot2011_P2_emb30</t>
        </is>
      </c>
      <c r="B20" s="0" t="inlineStr">
        <is>
          <t>m.3243A&gt;G</t>
        </is>
      </c>
      <c r="C20" s="0" t="inlineStr">
        <is>
          <t>дробление (день 3)</t>
        </is>
      </c>
      <c r="D20" s="0" t="n">
        <v>55</v>
      </c>
      <c r="E20" s="0" t="n">
        <v>55</v>
      </c>
      <c r="F20" s="0" t="n">
        <v>0</v>
      </c>
      <c r="G20" s="0" t="inlineStr">
        <is>
          <t>Monnot et al., 2011</t>
        </is>
      </c>
      <c r="H20" s="0" t="inlineStr">
        <is>
          <t>10.1002/humu.21417</t>
        </is>
      </c>
    </row>
    <row r="21">
      <c r="A21" s="0" t="inlineStr">
        <is>
          <t>Monnot2011_P2_emb31</t>
        </is>
      </c>
      <c r="B21" s="0" t="inlineStr">
        <is>
          <t>m.3243A&gt;G</t>
        </is>
      </c>
      <c r="C21" s="0" t="inlineStr">
        <is>
          <t>дробление (день 3)</t>
        </is>
      </c>
      <c r="D21" s="0" t="n">
        <v>63</v>
      </c>
      <c r="E21" s="0" t="n">
        <v>66</v>
      </c>
      <c r="F21" s="0" t="n">
        <v>3</v>
      </c>
      <c r="G21" s="0" t="inlineStr">
        <is>
          <t>Monnot et al., 2011</t>
        </is>
      </c>
      <c r="H21" s="0" t="inlineStr">
        <is>
          <t>10.1002/humu.21417</t>
        </is>
      </c>
    </row>
    <row r="22">
      <c r="A22" s="0" t="inlineStr">
        <is>
          <t>Monnot2011_P2_emb32</t>
        </is>
      </c>
      <c r="B22" s="0" t="inlineStr">
        <is>
          <t>m.3243A&gt;G</t>
        </is>
      </c>
      <c r="C22" s="0" t="inlineStr">
        <is>
          <t>дробление (день 3)</t>
        </is>
      </c>
      <c r="D22" s="0" t="n">
        <v>51</v>
      </c>
      <c r="E22" s="0" t="n">
        <v>54</v>
      </c>
      <c r="F22" s="0" t="n">
        <v>3</v>
      </c>
      <c r="G22" s="0" t="inlineStr">
        <is>
          <t>Monnot et al., 2011</t>
        </is>
      </c>
      <c r="H22" s="0" t="inlineStr">
        <is>
          <t>10.1002/humu.21417</t>
        </is>
      </c>
    </row>
    <row r="23">
      <c r="A23" s="0" t="inlineStr">
        <is>
          <t>Monnot2011_P2_emb33</t>
        </is>
      </c>
      <c r="B23" s="0" t="inlineStr">
        <is>
          <t>m.3243A&gt;G</t>
        </is>
      </c>
      <c r="C23" s="0" t="inlineStr">
        <is>
          <t>дробление (день 3)</t>
        </is>
      </c>
      <c r="D23" s="0" t="n">
        <v>67</v>
      </c>
      <c r="E23" s="0" t="n">
        <v>68</v>
      </c>
      <c r="F23" s="0" t="n">
        <v>1</v>
      </c>
      <c r="G23" s="0" t="inlineStr">
        <is>
          <t>Monnot et al., 2011</t>
        </is>
      </c>
      <c r="H23" s="0" t="inlineStr">
        <is>
          <t>10.1002/humu.21417</t>
        </is>
      </c>
    </row>
    <row r="24">
      <c r="A24" s="0" t="inlineStr">
        <is>
          <t>Monnot2011_P2_emb34</t>
        </is>
      </c>
      <c r="B24" s="0" t="inlineStr">
        <is>
          <t>m.3243A&gt;G</t>
        </is>
      </c>
      <c r="C24" s="0" t="inlineStr">
        <is>
          <t>дробление (день 3)</t>
        </is>
      </c>
      <c r="D24" s="0" t="n">
        <v>72</v>
      </c>
      <c r="E24" s="0" t="n">
        <v>77</v>
      </c>
      <c r="F24" s="0" t="n">
        <v>5</v>
      </c>
      <c r="G24" s="0" t="inlineStr">
        <is>
          <t>Monnot et al., 2011</t>
        </is>
      </c>
      <c r="H24" s="0" t="inlineStr">
        <is>
          <t>10.1002/humu.21417</t>
        </is>
      </c>
    </row>
    <row r="25">
      <c r="A25" s="0" t="inlineStr">
        <is>
          <t>Monnot2011_P2_emb35</t>
        </is>
      </c>
      <c r="B25" s="0" t="inlineStr">
        <is>
          <t>m.3243A&gt;G</t>
        </is>
      </c>
      <c r="C25" s="0" t="inlineStr">
        <is>
          <t>дробление (день 3)</t>
        </is>
      </c>
      <c r="D25" s="0" t="n">
        <v>69</v>
      </c>
      <c r="E25" s="0" t="n">
        <v>71</v>
      </c>
      <c r="F25" s="0" t="n">
        <v>2</v>
      </c>
      <c r="G25" s="0" t="inlineStr">
        <is>
          <t>Monnot et al., 2011</t>
        </is>
      </c>
      <c r="H25" s="0" t="inlineStr">
        <is>
          <t>10.1002/humu.21417</t>
        </is>
      </c>
    </row>
    <row r="27">
      <c r="A27" s="0" t="inlineStr">
        <is>
          <t>Итого: n = 22; медиана размаха 1 п.п.; максимум 6 п.п.; ≤5 п.п. у 21 из 22 (95%).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2" customWidth="1" style="32" min="1" max="1"/>
    <col width="15" customWidth="1" style="32" min="2" max="2"/>
    <col width="14" customWidth="1" style="32" min="3" max="3"/>
    <col width="20" customWidth="1" style="32" min="4" max="4"/>
    <col width="20" customWidth="1" style="32" min="5" max="5"/>
    <col width="20" customWidth="1" style="32" min="6" max="6"/>
    <col width="12" customWidth="1" style="32" min="7" max="7"/>
    <col width="30" customWidth="1" style="32" min="8" max="8"/>
    <col width="22" customWidth="1" style="32" min="9" max="9"/>
    <col width="30" customWidth="1" style="32" min="10" max="10"/>
  </cols>
  <sheetData>
    <row r="1">
      <c r="A1" s="0" t="inlineStr">
        <is>
          <t>Данные по бластомерам на стадии дробления — Tajima et al., 2007 (J Assist Reprod Genet 24:227–232)</t>
        </is>
      </c>
    </row>
    <row r="2">
      <c r="A2" s="0" t="inlineStr">
        <is>
          <t>ВАЖНО: эмбрионы получены от 13 женщин БЕЗ известного патогенного варианта мтДНК и являются аномальными (3PN, три пронуклеуса). Это НЕ эмбрионы носительниц в цикле ПГТ-мт, поэтому данные НЕ включены во вкладку «Рисунок 3» и в таблицу 1. Использованы только для оценки размаха гетероплазмии между бластомерами одного эмбриона (панель В рисунка 4). Заявленная погрешность метода (real-time PCR, 2007): от −5 до +6 п.п.; калибровка выполнена при 10^4 копий мтДНК на бластомер. ВЕРСИЯ v2: данные Tajima et al. на рисунке 4В больше не используются (3PN-эмбрионы не-носительниц; значения в пределах погрешности метода); лист сохранён для прозрачности.</t>
        </is>
      </c>
    </row>
    <row r="3">
      <c r="A3" s="0" t="inlineStr">
        <is>
          <t>Эмбрион</t>
        </is>
      </c>
      <c r="B3" s="0" t="inlineStr">
        <is>
          <t>Вариант мтДНК</t>
        </is>
      </c>
      <c r="C3" s="0" t="inlineStr">
        <is>
          <t>Стадия</t>
        </is>
      </c>
      <c r="D3" s="0" t="inlineStr">
        <is>
          <t>Материал</t>
        </is>
      </c>
      <c r="E3" s="0" t="inlineStr">
        <is>
          <t>Гетероплазмия min, %</t>
        </is>
      </c>
      <c r="F3" s="0" t="inlineStr">
        <is>
          <t>Гетероплазмия max, %</t>
        </is>
      </c>
      <c r="G3" s="0" t="inlineStr">
        <is>
          <t>Размах, п.п.</t>
        </is>
      </c>
      <c r="H3" s="0" t="inlineStr">
        <is>
          <t>Число бластомеров</t>
        </is>
      </c>
      <c r="I3" s="0" t="inlineStr">
        <is>
          <t>Источник</t>
        </is>
      </c>
      <c r="J3" s="0" t="inlineStr">
        <is>
          <t>DOI</t>
        </is>
      </c>
    </row>
    <row r="4">
      <c r="A4" s="0" t="inlineStr">
        <is>
          <t>Tajima2007_emb6</t>
        </is>
      </c>
      <c r="B4" s="0" t="inlineStr">
        <is>
          <t>m.8993T&gt;G</t>
        </is>
      </c>
      <c r="C4" s="0" t="inlineStr">
        <is>
          <t>дробление</t>
        </is>
      </c>
      <c r="D4" s="0" t="inlineStr">
        <is>
          <t>бластомеры (все)</t>
        </is>
      </c>
      <c r="E4" s="0" t="n">
        <v>4</v>
      </c>
      <c r="F4" s="0" t="n">
        <v>15</v>
      </c>
      <c r="G4" s="0" t="n">
        <v>11</v>
      </c>
      <c r="H4" s="0" t="inlineStr">
        <is>
          <t>н/д (всего 123 на 20 эмбрионов)</t>
        </is>
      </c>
      <c r="I4" s="0" t="inlineStr">
        <is>
          <t>Tajima et al., 2007</t>
        </is>
      </c>
      <c r="J4" s="0" t="inlineStr">
        <is>
          <t>10.1007/s10815-007-9114-0</t>
        </is>
      </c>
    </row>
    <row r="5">
      <c r="A5" s="0" t="inlineStr">
        <is>
          <t>Tajima2007_emb7</t>
        </is>
      </c>
      <c r="B5" s="0" t="inlineStr">
        <is>
          <t>m.8993T&gt;G</t>
        </is>
      </c>
      <c r="C5" s="0" t="inlineStr">
        <is>
          <t>дробление</t>
        </is>
      </c>
      <c r="D5" s="0" t="inlineStr">
        <is>
          <t>бластомеры (все)</t>
        </is>
      </c>
      <c r="E5" s="0" t="n">
        <v>9</v>
      </c>
      <c r="F5" s="0" t="n">
        <v>20</v>
      </c>
      <c r="G5" s="0" t="n">
        <v>11</v>
      </c>
      <c r="H5" s="0" t="inlineStr">
        <is>
          <t>н/д (всего 123 на 20 эмбрионов)</t>
        </is>
      </c>
      <c r="I5" s="0" t="inlineStr">
        <is>
          <t>Tajima et al., 2007</t>
        </is>
      </c>
      <c r="J5" s="0" t="inlineStr">
        <is>
          <t>10.1007/s10815-007-9114-0</t>
        </is>
      </c>
    </row>
    <row r="6">
      <c r="A6" s="0" t="inlineStr">
        <is>
          <t>Tajima2007_emb11</t>
        </is>
      </c>
      <c r="B6" s="0" t="inlineStr">
        <is>
          <t>m.8993T&gt;G</t>
        </is>
      </c>
      <c r="C6" s="0" t="inlineStr">
        <is>
          <t>дробление</t>
        </is>
      </c>
      <c r="D6" s="0" t="inlineStr">
        <is>
          <t>бластомеры (все)</t>
        </is>
      </c>
      <c r="E6" s="0" t="n">
        <v>11</v>
      </c>
      <c r="F6" s="0" t="n">
        <v>22</v>
      </c>
      <c r="G6" s="0" t="n">
        <v>11</v>
      </c>
      <c r="H6" s="0" t="inlineStr">
        <is>
          <t>н/д (всего 123 на 20 эмбрионов)</t>
        </is>
      </c>
      <c r="I6" s="0" t="inlineStr">
        <is>
          <t>Tajima et al., 2007</t>
        </is>
      </c>
      <c r="J6" s="0" t="inlineStr">
        <is>
          <t>10.1007/s10815-007-9114-0</t>
        </is>
      </c>
    </row>
    <row r="7">
      <c r="A7" s="0" t="inlineStr">
        <is>
          <t>Tajima2007_emb16</t>
        </is>
      </c>
      <c r="B7" s="0" t="inlineStr">
        <is>
          <t>m.8993T&gt;G</t>
        </is>
      </c>
      <c r="C7" s="0" t="inlineStr">
        <is>
          <t>дробление</t>
        </is>
      </c>
      <c r="D7" s="0" t="inlineStr">
        <is>
          <t>бластомеры (все)</t>
        </is>
      </c>
      <c r="E7" s="0" t="n">
        <v>10</v>
      </c>
      <c r="F7" s="0" t="n">
        <v>12</v>
      </c>
      <c r="G7" s="0" t="n">
        <v>2</v>
      </c>
      <c r="H7" s="0" t="inlineStr">
        <is>
          <t>н/д (всего 123 на 20 эмбрионов)</t>
        </is>
      </c>
      <c r="I7" s="0" t="inlineStr">
        <is>
          <t>Tajima et al., 2007</t>
        </is>
      </c>
      <c r="J7" s="0" t="inlineStr">
        <is>
          <t>10.1007/s10815-007-9114-0</t>
        </is>
      </c>
    </row>
    <row r="8">
      <c r="A8" s="0" t="inlineStr">
        <is>
          <t>Tajima2007_emb17</t>
        </is>
      </c>
      <c r="B8" s="0" t="inlineStr">
        <is>
          <t>m.8993T&gt;G</t>
        </is>
      </c>
      <c r="C8" s="0" t="inlineStr">
        <is>
          <t>дробление</t>
        </is>
      </c>
      <c r="D8" s="0" t="inlineStr">
        <is>
          <t>бластомеры (все)</t>
        </is>
      </c>
      <c r="E8" s="0" t="n">
        <v>18</v>
      </c>
      <c r="F8" s="0" t="n">
        <v>21</v>
      </c>
      <c r="G8" s="0" t="n">
        <v>3</v>
      </c>
      <c r="H8" s="0" t="inlineStr">
        <is>
          <t>н/д (всего 123 на 20 эмбрионов)</t>
        </is>
      </c>
      <c r="I8" s="0" t="inlineStr">
        <is>
          <t>Tajima et al., 2007</t>
        </is>
      </c>
      <c r="J8" s="0" t="inlineStr">
        <is>
          <t>10.1007/s10815-007-9114-0</t>
        </is>
      </c>
    </row>
    <row r="10">
      <c r="A10" s="0" t="inlineStr">
        <is>
          <t>Контекст (в набор не входит):</t>
        </is>
      </c>
    </row>
    <row r="11">
      <c r="A11" s="0" t="inlineStr">
        <is>
          <t>m.8993T&gt;G выявлен в 5 из 20 эмбрионов (25%) на уровне 4–22%.</t>
        </is>
      </c>
    </row>
    <row r="12">
      <c r="A12" s="0" t="inlineStr">
        <is>
          <t>Эмбрионы одной донорши различались между собой: эмбрионы 5, 6, 7 — 0–8%, 4–15%, 9–20%; эмбрионы 16, 17 — 10–12%, 18–21%. Эмбрион 5 в пятёрку с выявленным вариантом не входит.</t>
        </is>
      </c>
    </row>
    <row r="13">
      <c r="A13" s="0" t="inlineStr">
        <is>
          <t>Отдельные лимфоциты носительницы с 46% (n = 40): среднее 44,3%, диапазон 11–70%.</t>
        </is>
      </c>
    </row>
    <row r="14">
      <c r="A14" s="0" t="inlineStr">
        <is>
          <t>Авторы предлагали устанавливать порог отбора, вычитая 10–15 п.п. из уровня мутационной нагрузки у матери.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style="32" min="1" max="1"/>
    <col width="14" customWidth="1" style="32" min="2" max="2"/>
    <col width="14" customWidth="1" style="32" min="3" max="3"/>
    <col width="20" customWidth="1" style="32" min="4" max="4"/>
    <col width="16" customWidth="1" style="32" min="5" max="5"/>
    <col width="30" customWidth="1" style="32" min="6" max="6"/>
  </cols>
  <sheetData>
    <row r="1">
      <c r="A1" s="41" t="inlineStr">
        <is>
          <t>Распределение m.3250T&gt;C внутри одной бластоцисты — Hu et al., 2026 (J Assist Reprod Genet), Table 2</t>
        </is>
      </c>
    </row>
    <row r="2" ht="75" customHeight="1" s="32">
      <c r="A2" s="42" t="inlineStr">
        <is>
          <t>Анеуплоидная бластоциста E1 (биоптат ТЭ 17,8%) разобрана на клетки и разделена на 16 проб по 3–5 клеток; в 11 пробах ВКМ не удалось отделить от ТЭ (смешанные ТЭ/ВКМ), 5 проб — только ТЭ. После MDA-амплификации — таргетная ПЦР и NGS. Среднее 18,2 ± 1,7% (95% ДИ 17,3–19,1%; CV 9,7%), размах 14,7–21,9% (7,2 п.п.). В рис. 4 не включено: ВКМ отдельно не выделена, а разброс 16 малых проб не сопоставим с разбросом 2–3 крупных фракций. Используется в тексте (раздел об однородности внутри эмбриона).</t>
        </is>
      </c>
    </row>
    <row r="3">
      <c r="A3" s="43" t="inlineStr">
        <is>
          <t>Проба</t>
        </is>
      </c>
      <c r="B3" s="43" t="inlineStr">
        <is>
          <t>Тип клеток</t>
        </is>
      </c>
      <c r="C3" s="43" t="inlineStr">
        <is>
          <t>Число клеток</t>
        </is>
      </c>
      <c r="D3" s="43" t="inlineStr">
        <is>
          <t>Глубина покрытия, ×</t>
        </is>
      </c>
      <c r="E3" s="43" t="inlineStr">
        <is>
          <t>m.3250T&gt;C, %</t>
        </is>
      </c>
      <c r="F3" s="43" t="inlineStr">
        <is>
          <t>Δ (проба − биоптат 17,8%), п.п.</t>
        </is>
      </c>
    </row>
    <row r="4">
      <c r="A4" t="n">
        <v>1</v>
      </c>
      <c r="B4" t="inlineStr">
        <is>
          <t>ТЭ/ВКМ</t>
        </is>
      </c>
      <c r="C4" t="inlineStr">
        <is>
          <t>3</t>
        </is>
      </c>
      <c r="D4" t="n">
        <v>93314</v>
      </c>
      <c r="E4" t="n">
        <v>18.1</v>
      </c>
      <c r="F4">
        <f>E4-17.8</f>
        <v/>
      </c>
    </row>
    <row r="5">
      <c r="A5" t="n">
        <v>2</v>
      </c>
      <c r="B5" t="inlineStr">
        <is>
          <t>ТЭ/ВКМ</t>
        </is>
      </c>
      <c r="C5" t="inlineStr">
        <is>
          <t>3</t>
        </is>
      </c>
      <c r="D5" t="n">
        <v>92970</v>
      </c>
      <c r="E5" t="n">
        <v>17.7</v>
      </c>
      <c r="F5">
        <f>E5-17.8</f>
        <v/>
      </c>
    </row>
    <row r="6">
      <c r="A6" t="n">
        <v>3</v>
      </c>
      <c r="B6" t="inlineStr">
        <is>
          <t>ТЭ/ВКМ</t>
        </is>
      </c>
      <c r="C6" t="inlineStr">
        <is>
          <t>3</t>
        </is>
      </c>
      <c r="D6" t="n">
        <v>93329</v>
      </c>
      <c r="E6" t="n">
        <v>16.9</v>
      </c>
      <c r="F6">
        <f>E6-17.8</f>
        <v/>
      </c>
    </row>
    <row r="7">
      <c r="A7" t="n">
        <v>4</v>
      </c>
      <c r="B7" t="inlineStr">
        <is>
          <t>ТЭ/ВКМ</t>
        </is>
      </c>
      <c r="C7" t="inlineStr">
        <is>
          <t>3</t>
        </is>
      </c>
      <c r="D7" t="n">
        <v>92752</v>
      </c>
      <c r="E7" t="n">
        <v>16.3</v>
      </c>
      <c r="F7">
        <f>E7-17.8</f>
        <v/>
      </c>
    </row>
    <row r="8">
      <c r="A8" t="n">
        <v>5</v>
      </c>
      <c r="B8" t="inlineStr">
        <is>
          <t>ТЭ/ВКМ</t>
        </is>
      </c>
      <c r="C8" t="inlineStr">
        <is>
          <t>3</t>
        </is>
      </c>
      <c r="D8" t="n">
        <v>93852</v>
      </c>
      <c r="E8" t="n">
        <v>18.7</v>
      </c>
      <c r="F8">
        <f>E8-17.8</f>
        <v/>
      </c>
    </row>
    <row r="9">
      <c r="A9" t="n">
        <v>6</v>
      </c>
      <c r="B9" t="inlineStr">
        <is>
          <t>ТЭ/ВКМ</t>
        </is>
      </c>
      <c r="C9" t="inlineStr">
        <is>
          <t>5</t>
        </is>
      </c>
      <c r="D9" t="n">
        <v>95633</v>
      </c>
      <c r="E9" t="n">
        <v>19.7</v>
      </c>
      <c r="F9">
        <f>E9-17.8</f>
        <v/>
      </c>
    </row>
    <row r="10">
      <c r="A10" t="n">
        <v>7</v>
      </c>
      <c r="B10" t="inlineStr">
        <is>
          <t>ТЭ/ВКМ</t>
        </is>
      </c>
      <c r="C10" t="inlineStr">
        <is>
          <t>5</t>
        </is>
      </c>
      <c r="D10" t="n">
        <v>93532</v>
      </c>
      <c r="E10" t="n">
        <v>20.3</v>
      </c>
      <c r="F10">
        <f>E10-17.8</f>
        <v/>
      </c>
    </row>
    <row r="11">
      <c r="A11" t="n">
        <v>8</v>
      </c>
      <c r="B11" t="inlineStr">
        <is>
          <t>ТЭ/ВКМ</t>
        </is>
      </c>
      <c r="C11" t="inlineStr">
        <is>
          <t>5</t>
        </is>
      </c>
      <c r="D11" t="n">
        <v>95184</v>
      </c>
      <c r="E11" t="n">
        <v>17.5</v>
      </c>
      <c r="F11">
        <f>E11-17.8</f>
        <v/>
      </c>
    </row>
    <row r="12">
      <c r="A12" t="n">
        <v>9</v>
      </c>
      <c r="B12" t="inlineStr">
        <is>
          <t>ТЭ/ВКМ</t>
        </is>
      </c>
      <c r="C12" t="inlineStr">
        <is>
          <t>5</t>
        </is>
      </c>
      <c r="D12" t="n">
        <v>96602</v>
      </c>
      <c r="E12" t="n">
        <v>20.4</v>
      </c>
      <c r="F12">
        <f>E12-17.8</f>
        <v/>
      </c>
    </row>
    <row r="13">
      <c r="A13" t="n">
        <v>10</v>
      </c>
      <c r="B13" t="inlineStr">
        <is>
          <t>ТЭ/ВКМ</t>
        </is>
      </c>
      <c r="C13" t="inlineStr">
        <is>
          <t>5</t>
        </is>
      </c>
      <c r="D13" t="n">
        <v>97201</v>
      </c>
      <c r="E13" t="n">
        <v>21.9</v>
      </c>
      <c r="F13">
        <f>E13-17.8</f>
        <v/>
      </c>
    </row>
    <row r="14">
      <c r="A14" t="n">
        <v>11</v>
      </c>
      <c r="B14" t="inlineStr">
        <is>
          <t>ТЭ/ВКМ</t>
        </is>
      </c>
      <c r="C14" t="inlineStr">
        <is>
          <t>5</t>
        </is>
      </c>
      <c r="D14" t="n">
        <v>94356</v>
      </c>
      <c r="E14" t="n">
        <v>14.7</v>
      </c>
      <c r="F14">
        <f>E14-17.8</f>
        <v/>
      </c>
    </row>
    <row r="15">
      <c r="A15" t="n">
        <v>12</v>
      </c>
      <c r="B15" t="inlineStr">
        <is>
          <t>ТЭ</t>
        </is>
      </c>
      <c r="C15" t="inlineStr">
        <is>
          <t>3</t>
        </is>
      </c>
      <c r="D15" t="n">
        <v>94815</v>
      </c>
      <c r="E15" t="n">
        <v>18.6</v>
      </c>
      <c r="F15">
        <f>E15-17.8</f>
        <v/>
      </c>
    </row>
    <row r="16">
      <c r="A16" t="n">
        <v>13</v>
      </c>
      <c r="B16" t="inlineStr">
        <is>
          <t>ТЭ</t>
        </is>
      </c>
      <c r="C16" t="inlineStr">
        <is>
          <t>3</t>
        </is>
      </c>
      <c r="D16" t="n">
        <v>95156</v>
      </c>
      <c r="E16" t="n">
        <v>16.9</v>
      </c>
      <c r="F16">
        <f>E16-17.8</f>
        <v/>
      </c>
    </row>
    <row r="17">
      <c r="A17" t="n">
        <v>14</v>
      </c>
      <c r="B17" t="inlineStr">
        <is>
          <t>ТЭ</t>
        </is>
      </c>
      <c r="C17" t="inlineStr">
        <is>
          <t>3–5</t>
        </is>
      </c>
      <c r="D17" t="n">
        <v>94114</v>
      </c>
      <c r="E17" t="n">
        <v>18.5</v>
      </c>
      <c r="F17">
        <f>E17-17.8</f>
        <v/>
      </c>
    </row>
    <row r="18">
      <c r="A18" t="n">
        <v>15</v>
      </c>
      <c r="B18" t="inlineStr">
        <is>
          <t>ТЭ</t>
        </is>
      </c>
      <c r="C18" t="inlineStr">
        <is>
          <t>3–5</t>
        </is>
      </c>
      <c r="D18" t="n">
        <v>94218</v>
      </c>
      <c r="E18" t="n">
        <v>17.5</v>
      </c>
      <c r="F18">
        <f>E18-17.8</f>
        <v/>
      </c>
    </row>
    <row r="19">
      <c r="A19" t="n">
        <v>16</v>
      </c>
      <c r="B19" t="inlineStr">
        <is>
          <t>ТЭ</t>
        </is>
      </c>
      <c r="C19" t="inlineStr">
        <is>
          <t>5</t>
        </is>
      </c>
      <c r="D19" t="n">
        <v>93083</v>
      </c>
      <c r="E19" t="n">
        <v>17.5</v>
      </c>
      <c r="F19">
        <f>E19-17.8</f>
        <v/>
      </c>
    </row>
    <row r="20">
      <c r="A20" s="44" t="inlineStr">
        <is>
          <t>Среднее</t>
        </is>
      </c>
      <c r="E20" s="45">
        <f>AVERAGE(E4:E19)</f>
        <v/>
      </c>
    </row>
    <row r="21">
      <c r="A21" s="44" t="inlineStr">
        <is>
          <t>SD</t>
        </is>
      </c>
      <c r="E21" s="45">
        <f>STDEV(E4:E19)</f>
        <v/>
      </c>
    </row>
    <row r="22">
      <c r="A22" s="44" t="inlineStr">
        <is>
          <t>Размах, п.п.</t>
        </is>
      </c>
      <c r="E22" s="45">
        <f>MAX(E4:E19)-MIN(E4:E19)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2026-08-16T09:44:36Z</dcterms:created>
  <dcterms:modified xmlns:dcterms="http://purl.org/dc/terms/" xmlns:xsi="http://www.w3.org/2001/XMLSchema-instance" xsi:type="dcterms:W3CDTF">2026-10-10T07:54:28Z</dcterms:modified>
</cp:coreProperties>
</file>